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6C18656C-FC79-4609-BE79-D5791F3200C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3" i="1"/>
  <c r="J4" i="1"/>
  <c r="J5" i="1"/>
  <c r="J6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2" i="1"/>
</calcChain>
</file>

<file path=xl/sharedStrings.xml><?xml version="1.0" encoding="utf-8"?>
<sst xmlns="http://schemas.openxmlformats.org/spreadsheetml/2006/main" count="910" uniqueCount="48">
  <si>
    <t>Team</t>
  </si>
  <si>
    <t>Division</t>
  </si>
  <si>
    <t xml:space="preserve">League </t>
  </si>
  <si>
    <t>Season</t>
  </si>
  <si>
    <t>Payroll</t>
  </si>
  <si>
    <t>Revenue</t>
  </si>
  <si>
    <t>Wins</t>
  </si>
  <si>
    <t>Losses</t>
  </si>
  <si>
    <t>WIn %</t>
  </si>
  <si>
    <t>Win Per 1M</t>
  </si>
  <si>
    <t>Baltimore Orioles</t>
  </si>
  <si>
    <t>AL East</t>
  </si>
  <si>
    <t>American League</t>
  </si>
  <si>
    <t>Boston Red Sox</t>
  </si>
  <si>
    <t>New York Yankees</t>
  </si>
  <si>
    <t>Tampa Bay Rays</t>
  </si>
  <si>
    <t>Toronto Blue Jays</t>
  </si>
  <si>
    <t>Chicago White Sox</t>
  </si>
  <si>
    <t>AL Central</t>
  </si>
  <si>
    <t>Cleveland Guardians</t>
  </si>
  <si>
    <t>Detroit Tigers</t>
  </si>
  <si>
    <t>Kansas City Royals</t>
  </si>
  <si>
    <t>Minnesota Twins</t>
  </si>
  <si>
    <t>Houston Astros</t>
  </si>
  <si>
    <t>AL West</t>
  </si>
  <si>
    <t>Los Angeles Angels</t>
  </si>
  <si>
    <t>Oakland Athletics</t>
  </si>
  <si>
    <t>Seattle Mariners</t>
  </si>
  <si>
    <t>Texas Rangers</t>
  </si>
  <si>
    <t>Atlanta Braves</t>
  </si>
  <si>
    <t>NL East</t>
  </si>
  <si>
    <t>National League</t>
  </si>
  <si>
    <t>Miami Marlins</t>
  </si>
  <si>
    <t>New York Mets</t>
  </si>
  <si>
    <t>Philadelphia Phillies</t>
  </si>
  <si>
    <t>Washington Nationals</t>
  </si>
  <si>
    <t>Chicago Cubs</t>
  </si>
  <si>
    <t>NL Central</t>
  </si>
  <si>
    <t>Cincinnati Reds</t>
  </si>
  <si>
    <t>Milwaukee Brewers</t>
  </si>
  <si>
    <t>Pittsburgh Pirates</t>
  </si>
  <si>
    <t>St. Louis Cardinals</t>
  </si>
  <si>
    <t>Arizona Diamondbacks</t>
  </si>
  <si>
    <t>NL West</t>
  </si>
  <si>
    <t>Colorado Rockies</t>
  </si>
  <si>
    <t>Los Angeles Dodgers</t>
  </si>
  <si>
    <t>San Diego Padres</t>
  </si>
  <si>
    <t>San Francisco Giants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</si>
</sst>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6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3" fontId="0" fillId="0" borderId="0" xfId="0" applyNumberFormat="1" applyAlignment="1">
      <alignment wrapText="1"/>
    </xf>
    <xf numFmtId="3" fontId="3" fillId="0" borderId="0" xfId="0" applyNumberFormat="1" applyFont="1"/>
    <xf numFmtId="3" fontId="4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topLeftCell="A39" workbookViewId="0">
      <selection activeCell="E54" sqref="E54"/>
    </sheetView>
  </sheetViews>
  <sheetFormatPr defaultRowHeight="15"/>
  <cols>
    <col min="1" max="1" width="21.28515625" bestFit="1" customWidth="1"/>
    <col min="2" max="2" width="11" bestFit="1" customWidth="1"/>
    <col min="3" max="3" width="16.28515625" bestFit="1" customWidth="1"/>
    <col min="4" max="4" width="7.28515625" bestFit="1" customWidth="1"/>
    <col min="5" max="5" width="14.85546875" bestFit="1" customWidth="1"/>
    <col min="6" max="6" width="12" bestFit="1" customWidth="1"/>
    <col min="7" max="7" width="5.5703125" bestFit="1" customWidth="1"/>
    <col min="8" max="9" width="6.7109375" bestFit="1" customWidth="1"/>
    <col min="10" max="10" width="11.42578125" style="7" bestFit="1" customWidth="1"/>
    <col min="13" max="13" width="10.85546875" bestFit="1" customWidth="1"/>
    <col min="15" max="15" width="10.85546875" bestFit="1" customWidth="1"/>
  </cols>
  <sheetData>
    <row r="1" spans="1:10" ht="21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7" t="s">
        <v>9</v>
      </c>
    </row>
    <row r="2" spans="1:10">
      <c r="A2" t="s">
        <v>10</v>
      </c>
      <c r="B2" t="s">
        <v>11</v>
      </c>
      <c r="C2" t="s">
        <v>12</v>
      </c>
      <c r="D2">
        <v>2016</v>
      </c>
      <c r="E2" s="1">
        <v>160600618</v>
      </c>
      <c r="F2" s="3">
        <v>239000000</v>
      </c>
      <c r="G2">
        <v>89</v>
      </c>
      <c r="H2">
        <v>73</v>
      </c>
      <c r="I2" s="7">
        <f>G2/(G2+H2)</f>
        <v>0.54938271604938271</v>
      </c>
      <c r="J2" s="7">
        <f>G2/(E2/1000000)</f>
        <v>0.55416972305797729</v>
      </c>
    </row>
    <row r="3" spans="1:10">
      <c r="A3" t="s">
        <v>13</v>
      </c>
      <c r="B3" t="s">
        <v>11</v>
      </c>
      <c r="C3" t="s">
        <v>12</v>
      </c>
      <c r="D3">
        <v>2016</v>
      </c>
      <c r="E3" s="1">
        <v>216648955</v>
      </c>
      <c r="F3" s="3">
        <v>398000000</v>
      </c>
      <c r="G3">
        <v>93</v>
      </c>
      <c r="H3">
        <v>69</v>
      </c>
      <c r="I3" s="7">
        <f t="shared" ref="I3:I66" si="0">G3/(G3+H3)</f>
        <v>0.57407407407407407</v>
      </c>
      <c r="J3" s="7">
        <f t="shared" ref="J3:J66" si="1">G3/(E3/1000000)</f>
        <v>0.4292658600638069</v>
      </c>
    </row>
    <row r="4" spans="1:10">
      <c r="A4" t="s">
        <v>14</v>
      </c>
      <c r="B4" s="1" t="s">
        <v>11</v>
      </c>
      <c r="C4" t="s">
        <v>12</v>
      </c>
      <c r="D4">
        <v>2016</v>
      </c>
      <c r="E4" s="3">
        <v>227386656</v>
      </c>
      <c r="F4" s="3">
        <v>516000000</v>
      </c>
      <c r="G4">
        <v>84</v>
      </c>
      <c r="H4">
        <v>78</v>
      </c>
      <c r="I4" s="7">
        <f t="shared" si="0"/>
        <v>0.51851851851851849</v>
      </c>
      <c r="J4" s="7">
        <f t="shared" si="1"/>
        <v>0.36941481737609089</v>
      </c>
    </row>
    <row r="5" spans="1:10">
      <c r="A5" t="s">
        <v>15</v>
      </c>
      <c r="B5" s="1" t="s">
        <v>11</v>
      </c>
      <c r="C5" t="s">
        <v>12</v>
      </c>
      <c r="D5">
        <v>2016</v>
      </c>
      <c r="E5" s="3">
        <v>75165139</v>
      </c>
      <c r="F5" s="3">
        <v>193000000</v>
      </c>
      <c r="G5">
        <v>68</v>
      </c>
      <c r="H5">
        <v>94</v>
      </c>
      <c r="I5" s="7">
        <f t="shared" si="0"/>
        <v>0.41975308641975306</v>
      </c>
      <c r="J5" s="7">
        <f t="shared" si="1"/>
        <v>0.90467470565044794</v>
      </c>
    </row>
    <row r="6" spans="1:10">
      <c r="A6" t="s">
        <v>16</v>
      </c>
      <c r="B6" s="1" t="s">
        <v>11</v>
      </c>
      <c r="C6" t="s">
        <v>12</v>
      </c>
      <c r="D6">
        <v>2016</v>
      </c>
      <c r="E6" s="3">
        <v>163926855</v>
      </c>
      <c r="F6" s="3">
        <v>241000000</v>
      </c>
      <c r="G6">
        <v>89</v>
      </c>
      <c r="H6">
        <v>73</v>
      </c>
      <c r="I6" s="7">
        <f t="shared" si="0"/>
        <v>0.54938271604938271</v>
      </c>
      <c r="J6" s="7">
        <f t="shared" si="1"/>
        <v>0.54292507472311358</v>
      </c>
    </row>
    <row r="7" spans="1:10">
      <c r="A7" t="s">
        <v>17</v>
      </c>
      <c r="B7" t="s">
        <v>18</v>
      </c>
      <c r="C7" t="s">
        <v>12</v>
      </c>
      <c r="D7">
        <v>2016</v>
      </c>
      <c r="E7" s="1">
        <v>140289788</v>
      </c>
      <c r="F7" s="3">
        <v>240000000</v>
      </c>
      <c r="G7">
        <v>78</v>
      </c>
      <c r="H7">
        <v>84</v>
      </c>
      <c r="I7" s="7">
        <f t="shared" si="0"/>
        <v>0.48148148148148145</v>
      </c>
      <c r="J7" s="7">
        <f>G7/(E7/1000000)</f>
        <v>0.5559920013565065</v>
      </c>
    </row>
    <row r="8" spans="1:10">
      <c r="A8" t="s">
        <v>19</v>
      </c>
      <c r="B8" s="1" t="s">
        <v>18</v>
      </c>
      <c r="C8" t="s">
        <v>12</v>
      </c>
      <c r="D8">
        <v>2016</v>
      </c>
      <c r="E8" s="3">
        <v>119824657</v>
      </c>
      <c r="F8" s="3">
        <v>220000000</v>
      </c>
      <c r="G8">
        <v>94</v>
      </c>
      <c r="H8">
        <v>67</v>
      </c>
      <c r="I8" s="7">
        <f t="shared" si="0"/>
        <v>0.58385093167701863</v>
      </c>
      <c r="J8" s="7">
        <f t="shared" si="1"/>
        <v>0.78447960839979702</v>
      </c>
    </row>
    <row r="9" spans="1:10">
      <c r="A9" t="s">
        <v>20</v>
      </c>
      <c r="B9" s="1" t="s">
        <v>18</v>
      </c>
      <c r="C9" t="s">
        <v>12</v>
      </c>
      <c r="D9">
        <v>2016</v>
      </c>
      <c r="E9" s="3">
        <v>207891735</v>
      </c>
      <c r="F9" s="3">
        <v>268000000</v>
      </c>
      <c r="G9">
        <v>86</v>
      </c>
      <c r="H9">
        <v>75</v>
      </c>
      <c r="I9" s="7">
        <f t="shared" si="0"/>
        <v>0.53416149068322982</v>
      </c>
      <c r="J9" s="7">
        <f t="shared" si="1"/>
        <v>0.41367685925561204</v>
      </c>
    </row>
    <row r="10" spans="1:10">
      <c r="A10" t="s">
        <v>21</v>
      </c>
      <c r="B10" s="1" t="s">
        <v>18</v>
      </c>
      <c r="C10" t="s">
        <v>12</v>
      </c>
      <c r="D10">
        <v>2016</v>
      </c>
      <c r="E10" s="3">
        <v>149095174</v>
      </c>
      <c r="F10" s="3">
        <v>273000000</v>
      </c>
      <c r="G10">
        <v>81</v>
      </c>
      <c r="H10">
        <v>81</v>
      </c>
      <c r="I10" s="7">
        <f t="shared" si="0"/>
        <v>0.5</v>
      </c>
      <c r="J10" s="7">
        <f t="shared" si="1"/>
        <v>0.54327714188790588</v>
      </c>
    </row>
    <row r="11" spans="1:10">
      <c r="A11" t="s">
        <v>22</v>
      </c>
      <c r="B11" s="1" t="s">
        <v>18</v>
      </c>
      <c r="C11" t="s">
        <v>12</v>
      </c>
      <c r="D11">
        <v>2016</v>
      </c>
      <c r="E11" s="3">
        <v>110866850</v>
      </c>
      <c r="F11" s="3">
        <v>240000000</v>
      </c>
      <c r="G11">
        <v>59</v>
      </c>
      <c r="H11">
        <v>103</v>
      </c>
      <c r="I11" s="7">
        <f t="shared" si="0"/>
        <v>0.36419753086419754</v>
      </c>
      <c r="J11" s="7">
        <f t="shared" si="1"/>
        <v>0.53216989569019058</v>
      </c>
    </row>
    <row r="12" spans="1:10">
      <c r="A12" t="s">
        <v>23</v>
      </c>
      <c r="B12" t="s">
        <v>24</v>
      </c>
      <c r="C12" t="s">
        <v>12</v>
      </c>
      <c r="D12">
        <v>2016</v>
      </c>
      <c r="E12" s="3">
        <v>123596950</v>
      </c>
      <c r="F12" s="3">
        <v>270000000</v>
      </c>
      <c r="G12">
        <v>84</v>
      </c>
      <c r="H12">
        <v>78</v>
      </c>
      <c r="I12" s="7">
        <f t="shared" si="0"/>
        <v>0.51851851851851849</v>
      </c>
      <c r="J12" s="7">
        <f t="shared" si="1"/>
        <v>0.67962842125149525</v>
      </c>
    </row>
    <row r="13" spans="1:10">
      <c r="A13" t="s">
        <v>25</v>
      </c>
      <c r="B13" s="1" t="s">
        <v>24</v>
      </c>
      <c r="C13" t="s">
        <v>12</v>
      </c>
      <c r="D13">
        <v>2016</v>
      </c>
      <c r="E13" s="3">
        <v>185120015</v>
      </c>
      <c r="F13" s="3">
        <v>312000000</v>
      </c>
      <c r="G13">
        <v>74</v>
      </c>
      <c r="H13">
        <v>88</v>
      </c>
      <c r="I13" s="7">
        <f t="shared" si="0"/>
        <v>0.4567901234567901</v>
      </c>
      <c r="J13" s="7">
        <f t="shared" si="1"/>
        <v>0.39974067633907656</v>
      </c>
    </row>
    <row r="14" spans="1:10">
      <c r="A14" t="s">
        <v>26</v>
      </c>
      <c r="B14" s="1" t="s">
        <v>24</v>
      </c>
      <c r="C14" t="s">
        <v>12</v>
      </c>
      <c r="D14">
        <v>2016</v>
      </c>
      <c r="E14" s="3">
        <v>104714454</v>
      </c>
      <c r="F14" s="3">
        <v>208000000</v>
      </c>
      <c r="G14">
        <v>69</v>
      </c>
      <c r="H14">
        <v>93</v>
      </c>
      <c r="I14" s="7">
        <f t="shared" si="0"/>
        <v>0.42592592592592593</v>
      </c>
      <c r="J14" s="7">
        <f t="shared" si="1"/>
        <v>0.65893482097514444</v>
      </c>
    </row>
    <row r="15" spans="1:10">
      <c r="A15" t="s">
        <v>27</v>
      </c>
      <c r="B15" s="1" t="s">
        <v>24</v>
      </c>
      <c r="C15" t="s">
        <v>12</v>
      </c>
      <c r="D15">
        <v>2016</v>
      </c>
      <c r="E15" s="3">
        <v>158514069</v>
      </c>
      <c r="F15" s="3">
        <v>271000000</v>
      </c>
      <c r="G15">
        <v>86</v>
      </c>
      <c r="H15">
        <v>76</v>
      </c>
      <c r="I15" s="7">
        <f t="shared" si="0"/>
        <v>0.53086419753086422</v>
      </c>
      <c r="J15" s="7">
        <f t="shared" si="1"/>
        <v>0.54253859321471332</v>
      </c>
    </row>
    <row r="16" spans="1:10">
      <c r="A16" t="s">
        <v>28</v>
      </c>
      <c r="B16" s="1" t="s">
        <v>24</v>
      </c>
      <c r="C16" t="s">
        <v>12</v>
      </c>
      <c r="D16">
        <v>2016</v>
      </c>
      <c r="E16" s="3">
        <v>179029642</v>
      </c>
      <c r="F16" s="3">
        <v>275000000</v>
      </c>
      <c r="G16">
        <v>95</v>
      </c>
      <c r="H16">
        <v>67</v>
      </c>
      <c r="I16" s="7">
        <f t="shared" si="0"/>
        <v>0.5864197530864198</v>
      </c>
      <c r="J16" s="7">
        <f t="shared" si="1"/>
        <v>0.53063838445255895</v>
      </c>
    </row>
    <row r="17" spans="1:10">
      <c r="A17" t="s">
        <v>29</v>
      </c>
      <c r="B17" t="s">
        <v>30</v>
      </c>
      <c r="C17" t="s">
        <v>31</v>
      </c>
      <c r="D17">
        <v>2016</v>
      </c>
      <c r="E17" s="3">
        <v>116141893</v>
      </c>
      <c r="F17" s="3">
        <v>266000000</v>
      </c>
      <c r="G17">
        <v>68</v>
      </c>
      <c r="H17">
        <v>93</v>
      </c>
      <c r="I17" s="7">
        <f t="shared" si="0"/>
        <v>0.42236024844720499</v>
      </c>
      <c r="J17" s="7">
        <f t="shared" si="1"/>
        <v>0.58549071522366181</v>
      </c>
    </row>
    <row r="18" spans="1:10">
      <c r="A18" t="s">
        <v>32</v>
      </c>
      <c r="B18" s="1" t="s">
        <v>30</v>
      </c>
      <c r="C18" t="s">
        <v>31</v>
      </c>
      <c r="D18">
        <v>2016</v>
      </c>
      <c r="E18" s="4">
        <v>90575661</v>
      </c>
      <c r="F18" s="3">
        <v>199000000</v>
      </c>
      <c r="G18">
        <v>79</v>
      </c>
      <c r="H18">
        <v>82</v>
      </c>
      <c r="I18" s="7">
        <f t="shared" si="0"/>
        <v>0.49068322981366458</v>
      </c>
      <c r="J18" s="7">
        <f t="shared" si="1"/>
        <v>0.87219898952766128</v>
      </c>
    </row>
    <row r="19" spans="1:10">
      <c r="A19" t="s">
        <v>33</v>
      </c>
      <c r="B19" s="1" t="s">
        <v>30</v>
      </c>
      <c r="C19" t="s">
        <v>31</v>
      </c>
      <c r="D19">
        <v>2016</v>
      </c>
      <c r="E19" s="3">
        <v>163146861</v>
      </c>
      <c r="F19" s="3">
        <v>313000000</v>
      </c>
      <c r="G19">
        <v>87</v>
      </c>
      <c r="H19">
        <v>75</v>
      </c>
      <c r="I19" s="7">
        <f t="shared" si="0"/>
        <v>0.53703703703703709</v>
      </c>
      <c r="J19" s="7">
        <f t="shared" si="1"/>
        <v>0.53326186888756633</v>
      </c>
    </row>
    <row r="20" spans="1:10">
      <c r="A20" t="s">
        <v>34</v>
      </c>
      <c r="B20" s="1" t="s">
        <v>30</v>
      </c>
      <c r="C20" t="s">
        <v>31</v>
      </c>
      <c r="D20">
        <v>2016</v>
      </c>
      <c r="E20" s="3">
        <v>125280237</v>
      </c>
      <c r="F20" s="3">
        <v>263000000</v>
      </c>
      <c r="G20">
        <v>71</v>
      </c>
      <c r="H20">
        <v>91</v>
      </c>
      <c r="I20" s="7">
        <f t="shared" si="0"/>
        <v>0.43827160493827161</v>
      </c>
      <c r="J20" s="7">
        <f t="shared" si="1"/>
        <v>0.56672945150957843</v>
      </c>
    </row>
    <row r="21" spans="1:10">
      <c r="A21" t="s">
        <v>35</v>
      </c>
      <c r="B21" s="1" t="s">
        <v>30</v>
      </c>
      <c r="C21" t="s">
        <v>31</v>
      </c>
      <c r="D21">
        <v>2016</v>
      </c>
      <c r="E21" s="3">
        <v>156108722</v>
      </c>
      <c r="F21" s="3">
        <v>293000000</v>
      </c>
      <c r="G21">
        <v>95</v>
      </c>
      <c r="H21">
        <v>67</v>
      </c>
      <c r="I21" s="7">
        <f t="shared" si="0"/>
        <v>0.5864197530864198</v>
      </c>
      <c r="J21" s="7">
        <f t="shared" si="1"/>
        <v>0.60855023846777756</v>
      </c>
    </row>
    <row r="22" spans="1:10">
      <c r="A22" t="s">
        <v>36</v>
      </c>
      <c r="B22" t="s">
        <v>37</v>
      </c>
      <c r="C22" t="s">
        <v>31</v>
      </c>
      <c r="D22">
        <v>2016</v>
      </c>
      <c r="E22" s="3">
        <v>187647535</v>
      </c>
      <c r="F22" s="3">
        <v>340000000</v>
      </c>
      <c r="G22">
        <v>103</v>
      </c>
      <c r="H22">
        <v>58</v>
      </c>
      <c r="I22" s="7">
        <f t="shared" si="0"/>
        <v>0.63975155279503104</v>
      </c>
      <c r="J22" s="7">
        <f t="shared" si="1"/>
        <v>0.54890142841471379</v>
      </c>
    </row>
    <row r="23" spans="1:10">
      <c r="A23" t="s">
        <v>38</v>
      </c>
      <c r="B23" s="1" t="s">
        <v>37</v>
      </c>
      <c r="C23" t="s">
        <v>31</v>
      </c>
      <c r="D23">
        <v>2016</v>
      </c>
      <c r="E23" s="3">
        <v>129962019</v>
      </c>
      <c r="F23" s="3">
        <v>237000000</v>
      </c>
      <c r="G23">
        <v>68</v>
      </c>
      <c r="H23">
        <v>94</v>
      </c>
      <c r="I23" s="7">
        <f t="shared" si="0"/>
        <v>0.41975308641975306</v>
      </c>
      <c r="J23" s="7">
        <f t="shared" si="1"/>
        <v>0.52322979069754216</v>
      </c>
    </row>
    <row r="24" spans="1:10">
      <c r="A24" t="s">
        <v>39</v>
      </c>
      <c r="B24" s="1" t="s">
        <v>37</v>
      </c>
      <c r="C24" t="s">
        <v>31</v>
      </c>
      <c r="D24">
        <v>2016</v>
      </c>
      <c r="E24" s="3">
        <v>82465927</v>
      </c>
      <c r="F24" s="3">
        <v>234000000</v>
      </c>
      <c r="G24">
        <v>73</v>
      </c>
      <c r="H24">
        <v>89</v>
      </c>
      <c r="I24" s="7">
        <f t="shared" si="0"/>
        <v>0.45061728395061729</v>
      </c>
      <c r="J24" s="7">
        <f t="shared" si="1"/>
        <v>0.8852140836299579</v>
      </c>
    </row>
    <row r="25" spans="1:10">
      <c r="A25" t="s">
        <v>40</v>
      </c>
      <c r="B25" s="1" t="s">
        <v>37</v>
      </c>
      <c r="C25" t="s">
        <v>31</v>
      </c>
      <c r="D25">
        <v>2016</v>
      </c>
      <c r="E25" s="3">
        <v>109444522</v>
      </c>
      <c r="F25" s="3">
        <v>244000000</v>
      </c>
      <c r="G25">
        <v>78</v>
      </c>
      <c r="H25">
        <v>83</v>
      </c>
      <c r="I25" s="7">
        <f t="shared" si="0"/>
        <v>0.48447204968944102</v>
      </c>
      <c r="J25" s="7">
        <f t="shared" si="1"/>
        <v>0.71268985029693854</v>
      </c>
    </row>
    <row r="26" spans="1:10">
      <c r="A26" t="s">
        <v>41</v>
      </c>
      <c r="B26" s="1" t="s">
        <v>37</v>
      </c>
      <c r="C26" t="s">
        <v>31</v>
      </c>
      <c r="D26">
        <v>2016</v>
      </c>
      <c r="E26" s="3">
        <v>167116228</v>
      </c>
      <c r="F26" s="3">
        <v>300000000</v>
      </c>
      <c r="G26">
        <v>86</v>
      </c>
      <c r="H26">
        <v>76</v>
      </c>
      <c r="I26" s="7">
        <f t="shared" si="0"/>
        <v>0.53086419753086422</v>
      </c>
      <c r="J26" s="7">
        <f t="shared" si="1"/>
        <v>0.51461190232225684</v>
      </c>
    </row>
    <row r="27" spans="1:10">
      <c r="A27" t="s">
        <v>42</v>
      </c>
      <c r="B27" t="s">
        <v>43</v>
      </c>
      <c r="C27" t="s">
        <v>31</v>
      </c>
      <c r="D27">
        <v>2016</v>
      </c>
      <c r="E27" s="3">
        <v>96243833</v>
      </c>
      <c r="F27" s="3">
        <v>223000000</v>
      </c>
      <c r="G27">
        <v>69</v>
      </c>
      <c r="H27">
        <v>93</v>
      </c>
      <c r="I27" s="7">
        <f t="shared" si="0"/>
        <v>0.42592592592592593</v>
      </c>
      <c r="J27" s="7">
        <f t="shared" si="1"/>
        <v>0.7169290524827705</v>
      </c>
    </row>
    <row r="28" spans="1:10">
      <c r="A28" t="s">
        <v>44</v>
      </c>
      <c r="B28" t="s">
        <v>43</v>
      </c>
      <c r="C28" t="s">
        <v>31</v>
      </c>
      <c r="D28">
        <v>2016</v>
      </c>
      <c r="E28" s="3">
        <v>128170893</v>
      </c>
      <c r="F28" s="3">
        <v>227000000</v>
      </c>
      <c r="G28">
        <v>75</v>
      </c>
      <c r="H28">
        <v>87</v>
      </c>
      <c r="I28" s="7">
        <f t="shared" si="0"/>
        <v>0.46296296296296297</v>
      </c>
      <c r="J28" s="7">
        <f t="shared" si="1"/>
        <v>0.58515625696701667</v>
      </c>
    </row>
    <row r="29" spans="1:10">
      <c r="A29" t="s">
        <v>45</v>
      </c>
      <c r="B29" t="s">
        <v>43</v>
      </c>
      <c r="C29" t="s">
        <v>31</v>
      </c>
      <c r="D29">
        <v>2016</v>
      </c>
      <c r="E29" s="3">
        <v>269644693</v>
      </c>
      <c r="F29" s="3">
        <v>438000000</v>
      </c>
      <c r="G29">
        <v>91</v>
      </c>
      <c r="H29">
        <v>71</v>
      </c>
      <c r="I29" s="7">
        <f t="shared" si="0"/>
        <v>0.56172839506172845</v>
      </c>
      <c r="J29" s="7">
        <f t="shared" si="1"/>
        <v>0.33748114597604928</v>
      </c>
    </row>
    <row r="30" spans="1:10">
      <c r="A30" t="s">
        <v>46</v>
      </c>
      <c r="B30" t="s">
        <v>43</v>
      </c>
      <c r="C30" t="s">
        <v>31</v>
      </c>
      <c r="D30">
        <v>2016</v>
      </c>
      <c r="E30" s="3">
        <v>137657612</v>
      </c>
      <c r="F30" s="3">
        <v>244000000</v>
      </c>
      <c r="G30">
        <v>68</v>
      </c>
      <c r="H30">
        <v>94</v>
      </c>
      <c r="I30" s="7">
        <f t="shared" si="0"/>
        <v>0.41975308641975306</v>
      </c>
      <c r="J30" s="7">
        <f t="shared" si="1"/>
        <v>0.49397922143237527</v>
      </c>
    </row>
    <row r="31" spans="1:10">
      <c r="A31" t="s">
        <v>47</v>
      </c>
      <c r="B31" t="s">
        <v>43</v>
      </c>
      <c r="C31" t="s">
        <v>31</v>
      </c>
      <c r="D31">
        <v>2016</v>
      </c>
      <c r="E31" s="3">
        <v>185359602</v>
      </c>
      <c r="F31" s="3">
        <v>409000000</v>
      </c>
      <c r="G31">
        <v>87</v>
      </c>
      <c r="H31">
        <v>75</v>
      </c>
      <c r="I31" s="7">
        <f t="shared" si="0"/>
        <v>0.53703703703703709</v>
      </c>
      <c r="J31" s="7">
        <f t="shared" si="1"/>
        <v>0.4693579348535718</v>
      </c>
    </row>
    <row r="32" spans="1:10">
      <c r="A32" t="s">
        <v>10</v>
      </c>
      <c r="B32" t="s">
        <v>11</v>
      </c>
      <c r="C32" t="s">
        <v>12</v>
      </c>
      <c r="D32">
        <v>2017</v>
      </c>
      <c r="E32" s="3">
        <v>187413061</v>
      </c>
      <c r="F32" s="3">
        <v>253000000</v>
      </c>
      <c r="G32">
        <v>75</v>
      </c>
      <c r="H32">
        <v>87</v>
      </c>
      <c r="I32" s="7">
        <f t="shared" si="0"/>
        <v>0.46296296296296297</v>
      </c>
      <c r="J32" s="7">
        <f t="shared" si="1"/>
        <v>0.40018555590423871</v>
      </c>
    </row>
    <row r="33" spans="1:10">
      <c r="A33" t="s">
        <v>13</v>
      </c>
      <c r="B33" t="s">
        <v>11</v>
      </c>
      <c r="C33" t="s">
        <v>12</v>
      </c>
      <c r="D33">
        <v>2017</v>
      </c>
      <c r="E33" s="3">
        <v>234555349</v>
      </c>
      <c r="F33" s="3">
        <v>434000000</v>
      </c>
      <c r="G33">
        <v>93</v>
      </c>
      <c r="H33">
        <v>69</v>
      </c>
      <c r="I33" s="7">
        <f t="shared" si="0"/>
        <v>0.57407407407407407</v>
      </c>
      <c r="J33" s="7">
        <f t="shared" si="1"/>
        <v>0.3964949015083003</v>
      </c>
    </row>
    <row r="34" spans="1:10">
      <c r="A34" t="s">
        <v>14</v>
      </c>
      <c r="B34" s="1" t="s">
        <v>11</v>
      </c>
      <c r="C34" t="s">
        <v>12</v>
      </c>
      <c r="D34">
        <v>2017</v>
      </c>
      <c r="E34" s="3">
        <v>231191107</v>
      </c>
      <c r="F34" s="3">
        <v>526000000</v>
      </c>
      <c r="G34">
        <v>91</v>
      </c>
      <c r="H34">
        <v>71</v>
      </c>
      <c r="I34" s="7">
        <f t="shared" si="0"/>
        <v>0.56172839506172845</v>
      </c>
      <c r="J34" s="7">
        <f t="shared" si="1"/>
        <v>0.39361375608621485</v>
      </c>
    </row>
    <row r="35" spans="1:10">
      <c r="A35" t="s">
        <v>15</v>
      </c>
      <c r="B35" s="1" t="s">
        <v>11</v>
      </c>
      <c r="C35" t="s">
        <v>12</v>
      </c>
      <c r="D35">
        <v>2017</v>
      </c>
      <c r="E35" s="3">
        <v>96593495</v>
      </c>
      <c r="F35" s="3">
        <v>205000000</v>
      </c>
      <c r="G35">
        <v>80</v>
      </c>
      <c r="H35">
        <v>82</v>
      </c>
      <c r="I35" s="7">
        <f t="shared" si="0"/>
        <v>0.49382716049382713</v>
      </c>
      <c r="J35" s="7">
        <f t="shared" si="1"/>
        <v>0.82821312139083481</v>
      </c>
    </row>
    <row r="36" spans="1:10">
      <c r="A36" t="s">
        <v>16</v>
      </c>
      <c r="B36" s="1" t="s">
        <v>11</v>
      </c>
      <c r="C36" t="s">
        <v>12</v>
      </c>
      <c r="D36">
        <v>2017</v>
      </c>
      <c r="E36" s="3">
        <v>196394076</v>
      </c>
      <c r="F36" s="3">
        <v>278000000</v>
      </c>
      <c r="G36">
        <v>76</v>
      </c>
      <c r="H36">
        <v>86</v>
      </c>
      <c r="I36" s="7">
        <f t="shared" si="0"/>
        <v>0.46913580246913578</v>
      </c>
      <c r="J36" s="7">
        <f t="shared" si="1"/>
        <v>0.38697704914480208</v>
      </c>
    </row>
    <row r="37" spans="1:10">
      <c r="A37" t="s">
        <v>17</v>
      </c>
      <c r="B37" t="s">
        <v>18</v>
      </c>
      <c r="C37" t="s">
        <v>12</v>
      </c>
      <c r="D37">
        <v>2017</v>
      </c>
      <c r="E37" s="3">
        <v>112125537</v>
      </c>
      <c r="F37" s="3">
        <v>269000000</v>
      </c>
      <c r="G37">
        <v>67</v>
      </c>
      <c r="H37">
        <v>95</v>
      </c>
      <c r="I37" s="7">
        <f t="shared" si="0"/>
        <v>0.41358024691358025</v>
      </c>
      <c r="J37" s="7">
        <f t="shared" si="1"/>
        <v>0.5975445183375131</v>
      </c>
    </row>
    <row r="38" spans="1:10">
      <c r="A38" t="s">
        <v>19</v>
      </c>
      <c r="B38" s="1" t="s">
        <v>18</v>
      </c>
      <c r="C38" t="s">
        <v>12</v>
      </c>
      <c r="D38">
        <v>2017</v>
      </c>
      <c r="E38" s="3">
        <v>149785659</v>
      </c>
      <c r="F38" s="3">
        <v>271000000</v>
      </c>
      <c r="G38">
        <v>102</v>
      </c>
      <c r="H38">
        <v>60</v>
      </c>
      <c r="I38" s="7">
        <f t="shared" si="0"/>
        <v>0.62962962962962965</v>
      </c>
      <c r="J38" s="7">
        <f t="shared" si="1"/>
        <v>0.68097306965815729</v>
      </c>
    </row>
    <row r="39" spans="1:10">
      <c r="A39" t="s">
        <v>20</v>
      </c>
      <c r="B39" s="1" t="s">
        <v>18</v>
      </c>
      <c r="C39" t="s">
        <v>12</v>
      </c>
      <c r="D39">
        <v>2017</v>
      </c>
      <c r="E39" s="3">
        <v>202629641</v>
      </c>
      <c r="F39" s="3">
        <v>275000000</v>
      </c>
      <c r="G39">
        <v>64</v>
      </c>
      <c r="H39">
        <v>98</v>
      </c>
      <c r="I39" s="7">
        <f t="shared" si="0"/>
        <v>0.39506172839506171</v>
      </c>
      <c r="J39" s="7">
        <f t="shared" si="1"/>
        <v>0.31584717657373734</v>
      </c>
    </row>
    <row r="40" spans="1:10">
      <c r="A40" t="s">
        <v>21</v>
      </c>
      <c r="B40" s="1" t="s">
        <v>18</v>
      </c>
      <c r="C40" t="s">
        <v>12</v>
      </c>
      <c r="D40">
        <v>2017</v>
      </c>
      <c r="E40" s="3">
        <v>170790814</v>
      </c>
      <c r="F40" s="3">
        <v>246000000</v>
      </c>
      <c r="G40">
        <v>80</v>
      </c>
      <c r="H40">
        <v>82</v>
      </c>
      <c r="I40" s="7">
        <f t="shared" si="0"/>
        <v>0.49382716049382713</v>
      </c>
      <c r="J40" s="7">
        <f t="shared" si="1"/>
        <v>0.46840926702299102</v>
      </c>
    </row>
    <row r="41" spans="1:10">
      <c r="A41" t="s">
        <v>22</v>
      </c>
      <c r="B41" s="1" t="s">
        <v>18</v>
      </c>
      <c r="C41" t="s">
        <v>12</v>
      </c>
      <c r="D41">
        <v>2017</v>
      </c>
      <c r="E41" s="3">
        <v>143431780</v>
      </c>
      <c r="F41" s="3">
        <v>249000000</v>
      </c>
      <c r="G41">
        <v>85</v>
      </c>
      <c r="H41">
        <v>77</v>
      </c>
      <c r="I41" s="7">
        <f t="shared" si="0"/>
        <v>0.52469135802469136</v>
      </c>
      <c r="J41" s="7">
        <f t="shared" si="1"/>
        <v>0.59261622493982857</v>
      </c>
    </row>
    <row r="42" spans="1:10">
      <c r="A42" t="s">
        <v>23</v>
      </c>
      <c r="B42" t="s">
        <v>24</v>
      </c>
      <c r="C42" t="s">
        <v>12</v>
      </c>
      <c r="D42">
        <v>2017</v>
      </c>
      <c r="E42" s="3">
        <v>153164451</v>
      </c>
      <c r="F42" s="3">
        <v>299000000</v>
      </c>
      <c r="G42">
        <v>101</v>
      </c>
      <c r="H42">
        <v>61</v>
      </c>
      <c r="I42" s="7">
        <f t="shared" si="0"/>
        <v>0.62345679012345678</v>
      </c>
      <c r="J42" s="7">
        <f t="shared" si="1"/>
        <v>0.65942194380339592</v>
      </c>
    </row>
    <row r="43" spans="1:10">
      <c r="A43" t="s">
        <v>25</v>
      </c>
      <c r="B43" s="1" t="s">
        <v>24</v>
      </c>
      <c r="C43" t="s">
        <v>12</v>
      </c>
      <c r="D43">
        <v>2017</v>
      </c>
      <c r="E43" s="3">
        <v>193380577</v>
      </c>
      <c r="F43" s="3">
        <v>350000000</v>
      </c>
      <c r="G43">
        <v>80</v>
      </c>
      <c r="H43">
        <v>82</v>
      </c>
      <c r="I43" s="7">
        <f t="shared" si="0"/>
        <v>0.49382716049382713</v>
      </c>
      <c r="J43" s="7">
        <f t="shared" si="1"/>
        <v>0.41369201209902279</v>
      </c>
    </row>
    <row r="44" spans="1:10">
      <c r="A44" t="s">
        <v>26</v>
      </c>
      <c r="B44" s="1" t="s">
        <v>24</v>
      </c>
      <c r="C44" t="s">
        <v>12</v>
      </c>
      <c r="D44">
        <v>2017</v>
      </c>
      <c r="E44" s="3">
        <v>90548856</v>
      </c>
      <c r="F44" s="3">
        <v>216000000</v>
      </c>
      <c r="G44">
        <v>75</v>
      </c>
      <c r="H44">
        <v>87</v>
      </c>
      <c r="I44" s="7">
        <f t="shared" si="0"/>
        <v>0.46296296296296297</v>
      </c>
      <c r="J44" s="7">
        <f t="shared" si="1"/>
        <v>0.82828213754572444</v>
      </c>
    </row>
    <row r="45" spans="1:10">
      <c r="A45" t="s">
        <v>27</v>
      </c>
      <c r="B45" s="1" t="s">
        <v>24</v>
      </c>
      <c r="C45" t="s">
        <v>12</v>
      </c>
      <c r="D45">
        <v>2017</v>
      </c>
      <c r="E45" s="3">
        <v>90721992</v>
      </c>
      <c r="F45" s="3">
        <v>289000000</v>
      </c>
      <c r="G45">
        <v>78</v>
      </c>
      <c r="H45">
        <v>84</v>
      </c>
      <c r="I45" s="7">
        <f t="shared" si="0"/>
        <v>0.48148148148148145</v>
      </c>
      <c r="J45" s="7">
        <f t="shared" si="1"/>
        <v>0.85976948125213126</v>
      </c>
    </row>
    <row r="46" spans="1:10">
      <c r="A46" t="s">
        <v>28</v>
      </c>
      <c r="B46" s="1" t="s">
        <v>24</v>
      </c>
      <c r="C46" t="s">
        <v>12</v>
      </c>
      <c r="D46">
        <v>2017</v>
      </c>
      <c r="E46" s="3">
        <v>211324122</v>
      </c>
      <c r="F46" s="3">
        <v>298000000</v>
      </c>
      <c r="G46">
        <v>78</v>
      </c>
      <c r="H46">
        <v>84</v>
      </c>
      <c r="I46" s="7">
        <f t="shared" si="0"/>
        <v>0.48148148148148145</v>
      </c>
      <c r="J46" s="7">
        <f t="shared" si="1"/>
        <v>0.36910126142627486</v>
      </c>
    </row>
    <row r="47" spans="1:10">
      <c r="A47" t="s">
        <v>29</v>
      </c>
      <c r="B47" t="s">
        <v>30</v>
      </c>
      <c r="C47" t="s">
        <v>31</v>
      </c>
      <c r="D47">
        <v>2017</v>
      </c>
      <c r="E47" s="3">
        <v>124303683</v>
      </c>
      <c r="F47" s="3">
        <v>275000000</v>
      </c>
      <c r="G47">
        <v>72</v>
      </c>
      <c r="H47">
        <v>90</v>
      </c>
      <c r="I47" s="7">
        <f t="shared" si="0"/>
        <v>0.44444444444444442</v>
      </c>
      <c r="J47" s="7">
        <f t="shared" si="1"/>
        <v>0.57922660264217596</v>
      </c>
    </row>
    <row r="48" spans="1:10">
      <c r="A48" t="s">
        <v>32</v>
      </c>
      <c r="B48" s="1" t="s">
        <v>30</v>
      </c>
      <c r="C48" t="s">
        <v>31</v>
      </c>
      <c r="D48">
        <v>2017</v>
      </c>
      <c r="E48" s="3">
        <v>123667415</v>
      </c>
      <c r="F48" s="3">
        <v>206000000</v>
      </c>
      <c r="G48">
        <v>77</v>
      </c>
      <c r="H48">
        <v>85</v>
      </c>
      <c r="I48" s="7">
        <f t="shared" si="0"/>
        <v>0.47530864197530864</v>
      </c>
      <c r="J48" s="7">
        <f t="shared" si="1"/>
        <v>0.62263774172040387</v>
      </c>
    </row>
    <row r="49" spans="1:10">
      <c r="A49" t="s">
        <v>33</v>
      </c>
      <c r="B49" s="1" t="s">
        <v>30</v>
      </c>
      <c r="C49" t="s">
        <v>31</v>
      </c>
      <c r="D49">
        <v>2017</v>
      </c>
      <c r="E49" s="3">
        <v>163139774</v>
      </c>
      <c r="F49" s="3">
        <v>332000000</v>
      </c>
      <c r="G49">
        <v>70</v>
      </c>
      <c r="H49">
        <v>92</v>
      </c>
      <c r="I49" s="7">
        <f t="shared" si="0"/>
        <v>0.43209876543209874</v>
      </c>
      <c r="J49" s="7">
        <f t="shared" si="1"/>
        <v>0.4290799127869333</v>
      </c>
    </row>
    <row r="50" spans="1:10">
      <c r="A50" t="s">
        <v>34</v>
      </c>
      <c r="B50" s="1" t="s">
        <v>30</v>
      </c>
      <c r="C50" t="s">
        <v>31</v>
      </c>
      <c r="D50">
        <v>2017</v>
      </c>
      <c r="E50" s="3">
        <v>123978981</v>
      </c>
      <c r="F50" s="3">
        <v>325000000</v>
      </c>
      <c r="G50">
        <v>66</v>
      </c>
      <c r="H50">
        <v>96</v>
      </c>
      <c r="I50" s="7">
        <f t="shared" si="0"/>
        <v>0.40740740740740738</v>
      </c>
      <c r="J50" s="7">
        <f t="shared" si="1"/>
        <v>0.53234830184642346</v>
      </c>
    </row>
    <row r="51" spans="1:10">
      <c r="A51" t="s">
        <v>35</v>
      </c>
      <c r="B51" s="1" t="s">
        <v>30</v>
      </c>
      <c r="C51" t="s">
        <v>31</v>
      </c>
      <c r="D51">
        <v>2017</v>
      </c>
      <c r="E51" s="3">
        <v>171412260</v>
      </c>
      <c r="F51" s="3">
        <v>304000000</v>
      </c>
      <c r="G51">
        <v>97</v>
      </c>
      <c r="H51">
        <v>65</v>
      </c>
      <c r="I51" s="7">
        <f t="shared" si="0"/>
        <v>0.59876543209876543</v>
      </c>
      <c r="J51" s="7">
        <f t="shared" si="1"/>
        <v>0.56588717749827233</v>
      </c>
    </row>
    <row r="52" spans="1:10">
      <c r="A52" t="s">
        <v>36</v>
      </c>
      <c r="B52" t="s">
        <v>37</v>
      </c>
      <c r="C52" t="s">
        <v>31</v>
      </c>
      <c r="D52">
        <v>2017</v>
      </c>
      <c r="E52" s="3">
        <v>174803141</v>
      </c>
      <c r="F52" s="3">
        <v>434000000</v>
      </c>
      <c r="G52">
        <v>92</v>
      </c>
      <c r="H52">
        <v>70</v>
      </c>
      <c r="I52" s="7">
        <f t="shared" si="0"/>
        <v>0.5679012345679012</v>
      </c>
      <c r="J52" s="7">
        <f t="shared" si="1"/>
        <v>0.52630633221859546</v>
      </c>
    </row>
    <row r="53" spans="1:10">
      <c r="A53" t="s">
        <v>38</v>
      </c>
      <c r="B53" s="1" t="s">
        <v>37</v>
      </c>
      <c r="C53" t="s">
        <v>31</v>
      </c>
      <c r="D53">
        <v>2017</v>
      </c>
      <c r="E53" s="3">
        <v>117723900</v>
      </c>
      <c r="F53" s="3">
        <v>229000000</v>
      </c>
      <c r="G53">
        <v>68</v>
      </c>
      <c r="H53">
        <v>94</v>
      </c>
      <c r="I53" s="7">
        <f t="shared" si="0"/>
        <v>0.41975308641975306</v>
      </c>
      <c r="J53" s="7">
        <f t="shared" si="1"/>
        <v>0.57762272571669815</v>
      </c>
    </row>
    <row r="54" spans="1:10">
      <c r="A54" t="s">
        <v>39</v>
      </c>
      <c r="B54" s="1" t="s">
        <v>37</v>
      </c>
      <c r="C54" t="s">
        <v>31</v>
      </c>
      <c r="D54">
        <v>2017</v>
      </c>
      <c r="E54" s="3">
        <v>93818556</v>
      </c>
      <c r="F54" s="3">
        <v>239000000</v>
      </c>
      <c r="G54">
        <v>86</v>
      </c>
      <c r="H54">
        <v>76</v>
      </c>
      <c r="I54" s="7">
        <f t="shared" si="0"/>
        <v>0.53086419753086422</v>
      </c>
      <c r="J54" s="7">
        <f t="shared" si="1"/>
        <v>0.9166630106734962</v>
      </c>
    </row>
    <row r="55" spans="1:10">
      <c r="A55" t="s">
        <v>40</v>
      </c>
      <c r="B55" s="1" t="s">
        <v>37</v>
      </c>
      <c r="C55" t="s">
        <v>31</v>
      </c>
      <c r="D55">
        <v>2017</v>
      </c>
      <c r="E55" s="3">
        <v>114993679</v>
      </c>
      <c r="F55" s="3">
        <v>265000000</v>
      </c>
      <c r="G55">
        <v>75</v>
      </c>
      <c r="H55">
        <v>87</v>
      </c>
      <c r="I55" s="7">
        <f t="shared" si="0"/>
        <v>0.46296296296296297</v>
      </c>
      <c r="J55" s="7">
        <f t="shared" si="1"/>
        <v>0.65220976189482549</v>
      </c>
    </row>
    <row r="56" spans="1:10">
      <c r="A56" t="s">
        <v>41</v>
      </c>
      <c r="B56" s="1" t="s">
        <v>37</v>
      </c>
      <c r="C56" t="s">
        <v>31</v>
      </c>
      <c r="D56">
        <v>2017</v>
      </c>
      <c r="E56" s="5">
        <v>302621903</v>
      </c>
      <c r="F56" s="3">
        <v>310000000</v>
      </c>
      <c r="G56">
        <v>83</v>
      </c>
      <c r="H56">
        <v>79</v>
      </c>
      <c r="I56" s="7">
        <f t="shared" si="0"/>
        <v>0.51234567901234573</v>
      </c>
      <c r="J56" s="7">
        <f t="shared" si="1"/>
        <v>0.27426963870490234</v>
      </c>
    </row>
    <row r="57" spans="1:10">
      <c r="A57" t="s">
        <v>42</v>
      </c>
      <c r="B57" t="s">
        <v>43</v>
      </c>
      <c r="C57" t="s">
        <v>31</v>
      </c>
      <c r="D57">
        <v>2017</v>
      </c>
      <c r="E57" s="3">
        <v>111999746</v>
      </c>
      <c r="F57" s="3">
        <v>253000000</v>
      </c>
      <c r="G57">
        <v>93</v>
      </c>
      <c r="H57">
        <v>69</v>
      </c>
      <c r="I57" s="7">
        <f t="shared" si="0"/>
        <v>0.57407407407407407</v>
      </c>
      <c r="J57" s="7">
        <f t="shared" si="1"/>
        <v>0.8303590259927911</v>
      </c>
    </row>
    <row r="58" spans="1:10">
      <c r="A58" t="s">
        <v>44</v>
      </c>
      <c r="B58" t="s">
        <v>43</v>
      </c>
      <c r="C58" t="s">
        <v>31</v>
      </c>
      <c r="D58">
        <v>2017</v>
      </c>
      <c r="E58" s="3">
        <v>161481914</v>
      </c>
      <c r="F58" s="3">
        <v>248000000</v>
      </c>
      <c r="G58">
        <v>87</v>
      </c>
      <c r="H58">
        <v>75</v>
      </c>
      <c r="I58" s="7">
        <f t="shared" si="0"/>
        <v>0.53703703703703709</v>
      </c>
      <c r="J58" s="7">
        <f t="shared" si="1"/>
        <v>0.53876002485330965</v>
      </c>
    </row>
    <row r="59" spans="1:10">
      <c r="A59" t="s">
        <v>45</v>
      </c>
      <c r="B59" t="s">
        <v>43</v>
      </c>
      <c r="C59" t="s">
        <v>31</v>
      </c>
      <c r="D59">
        <v>2017</v>
      </c>
      <c r="E59" s="3">
        <v>252701790</v>
      </c>
      <c r="F59" s="3">
        <v>462000000</v>
      </c>
      <c r="G59">
        <v>104</v>
      </c>
      <c r="H59">
        <v>58</v>
      </c>
      <c r="I59" s="7">
        <f t="shared" si="0"/>
        <v>0.64197530864197527</v>
      </c>
      <c r="J59" s="7">
        <f t="shared" si="1"/>
        <v>0.41155228856906795</v>
      </c>
    </row>
    <row r="60" spans="1:10">
      <c r="A60" t="s">
        <v>46</v>
      </c>
      <c r="B60" t="s">
        <v>43</v>
      </c>
      <c r="C60" t="s">
        <v>31</v>
      </c>
      <c r="D60">
        <v>2017</v>
      </c>
      <c r="E60" s="3">
        <v>107623015</v>
      </c>
      <c r="F60" s="3">
        <v>259000000</v>
      </c>
      <c r="G60">
        <v>71</v>
      </c>
      <c r="H60">
        <v>91</v>
      </c>
      <c r="I60" s="7">
        <f t="shared" si="0"/>
        <v>0.43827160493827161</v>
      </c>
      <c r="J60" s="7">
        <f t="shared" si="1"/>
        <v>0.65971019302887957</v>
      </c>
    </row>
    <row r="61" spans="1:10">
      <c r="A61" t="s">
        <v>47</v>
      </c>
      <c r="B61" t="s">
        <v>43</v>
      </c>
      <c r="C61" t="s">
        <v>31</v>
      </c>
      <c r="D61">
        <v>2017</v>
      </c>
      <c r="E61" s="3">
        <v>208483228</v>
      </c>
      <c r="F61" s="3">
        <v>428000000</v>
      </c>
      <c r="G61">
        <v>64</v>
      </c>
      <c r="H61">
        <v>98</v>
      </c>
      <c r="I61" s="7">
        <f t="shared" si="0"/>
        <v>0.39506172839506171</v>
      </c>
      <c r="J61" s="7">
        <f t="shared" si="1"/>
        <v>0.30697913023487916</v>
      </c>
    </row>
    <row r="62" spans="1:10">
      <c r="A62" t="s">
        <v>10</v>
      </c>
      <c r="B62" t="s">
        <v>11</v>
      </c>
      <c r="C62" t="s">
        <v>12</v>
      </c>
      <c r="D62">
        <v>2018</v>
      </c>
      <c r="E62" s="3">
        <v>141886802</v>
      </c>
      <c r="F62" s="3">
        <v>252000000</v>
      </c>
      <c r="G62">
        <v>47</v>
      </c>
      <c r="H62">
        <v>115</v>
      </c>
      <c r="I62" s="7">
        <f t="shared" si="0"/>
        <v>0.29012345679012347</v>
      </c>
      <c r="J62" s="7">
        <f t="shared" si="1"/>
        <v>0.33124997771110526</v>
      </c>
    </row>
    <row r="63" spans="1:10">
      <c r="A63" t="s">
        <v>13</v>
      </c>
      <c r="B63" t="s">
        <v>11</v>
      </c>
      <c r="C63" t="s">
        <v>12</v>
      </c>
      <c r="D63">
        <v>2018</v>
      </c>
      <c r="E63" s="4">
        <v>248747553</v>
      </c>
      <c r="F63" s="3">
        <v>453000000</v>
      </c>
      <c r="G63">
        <v>108</v>
      </c>
      <c r="H63">
        <v>54</v>
      </c>
      <c r="I63" s="7">
        <f t="shared" si="0"/>
        <v>0.66666666666666663</v>
      </c>
      <c r="J63" s="7">
        <f t="shared" si="1"/>
        <v>0.43417512533279068</v>
      </c>
    </row>
    <row r="64" spans="1:10">
      <c r="A64" t="s">
        <v>14</v>
      </c>
      <c r="B64" s="1" t="s">
        <v>11</v>
      </c>
      <c r="C64" t="s">
        <v>12</v>
      </c>
      <c r="D64">
        <v>2018</v>
      </c>
      <c r="E64" s="3">
        <v>206549644</v>
      </c>
      <c r="F64" s="3">
        <v>619000000</v>
      </c>
      <c r="G64">
        <v>100</v>
      </c>
      <c r="H64">
        <v>62</v>
      </c>
      <c r="I64" s="7">
        <f t="shared" si="0"/>
        <v>0.61728395061728392</v>
      </c>
      <c r="J64" s="7">
        <f t="shared" si="1"/>
        <v>0.48414510944400369</v>
      </c>
    </row>
    <row r="65" spans="1:10">
      <c r="A65" t="s">
        <v>15</v>
      </c>
      <c r="B65" s="1" t="s">
        <v>11</v>
      </c>
      <c r="C65" t="s">
        <v>12</v>
      </c>
      <c r="D65">
        <v>2018</v>
      </c>
      <c r="E65" s="4">
        <v>87964001</v>
      </c>
      <c r="F65" s="3">
        <v>219000000</v>
      </c>
      <c r="G65">
        <v>90</v>
      </c>
      <c r="H65">
        <v>72</v>
      </c>
      <c r="I65" s="7">
        <f t="shared" si="0"/>
        <v>0.55555555555555558</v>
      </c>
      <c r="J65" s="7">
        <f t="shared" si="1"/>
        <v>1.0231458207545607</v>
      </c>
    </row>
    <row r="66" spans="1:10">
      <c r="A66" t="s">
        <v>16</v>
      </c>
      <c r="B66" s="1" t="s">
        <v>11</v>
      </c>
      <c r="C66" t="s">
        <v>12</v>
      </c>
      <c r="D66">
        <v>2018</v>
      </c>
      <c r="E66" s="3">
        <v>170382688</v>
      </c>
      <c r="F66" s="3">
        <v>274000000</v>
      </c>
      <c r="G66">
        <v>73</v>
      </c>
      <c r="H66">
        <v>89</v>
      </c>
      <c r="I66" s="7">
        <f t="shared" si="0"/>
        <v>0.45061728395061729</v>
      </c>
      <c r="J66" s="7">
        <f t="shared" si="1"/>
        <v>0.42844728450345848</v>
      </c>
    </row>
    <row r="67" spans="1:10">
      <c r="A67" t="s">
        <v>17</v>
      </c>
      <c r="B67" t="s">
        <v>18</v>
      </c>
      <c r="C67" t="s">
        <v>12</v>
      </c>
      <c r="D67">
        <v>2018</v>
      </c>
      <c r="E67" s="3">
        <v>92568561</v>
      </c>
      <c r="F67" s="3">
        <v>266000000</v>
      </c>
      <c r="G67">
        <v>62</v>
      </c>
      <c r="H67">
        <v>100</v>
      </c>
      <c r="I67" s="7">
        <f t="shared" ref="I67:I130" si="2">G67/(G67+H67)</f>
        <v>0.38271604938271603</v>
      </c>
      <c r="J67" s="7">
        <f t="shared" ref="J67:J130" si="3">G67/(E67/1000000)</f>
        <v>0.66977383390458023</v>
      </c>
    </row>
    <row r="68" spans="1:10">
      <c r="A68" t="s">
        <v>19</v>
      </c>
      <c r="B68" s="1" t="s">
        <v>18</v>
      </c>
      <c r="C68" t="s">
        <v>12</v>
      </c>
      <c r="D68">
        <v>2018</v>
      </c>
      <c r="E68" s="3">
        <v>159570497</v>
      </c>
      <c r="F68" s="3">
        <v>284000000</v>
      </c>
      <c r="G68">
        <v>91</v>
      </c>
      <c r="H68">
        <v>71</v>
      </c>
      <c r="I68" s="7">
        <f t="shared" si="2"/>
        <v>0.56172839506172845</v>
      </c>
      <c r="J68" s="7">
        <f t="shared" si="3"/>
        <v>0.57028085837195841</v>
      </c>
    </row>
    <row r="69" spans="1:10">
      <c r="A69" t="s">
        <v>20</v>
      </c>
      <c r="B69" s="1" t="s">
        <v>18</v>
      </c>
      <c r="C69" t="s">
        <v>12</v>
      </c>
      <c r="D69">
        <v>2018</v>
      </c>
      <c r="E69" s="3">
        <v>153441149</v>
      </c>
      <c r="F69" s="3">
        <v>277000000</v>
      </c>
      <c r="G69">
        <v>64</v>
      </c>
      <c r="H69">
        <v>98</v>
      </c>
      <c r="I69" s="7">
        <f t="shared" si="2"/>
        <v>0.39506172839506171</v>
      </c>
      <c r="J69" s="7">
        <f t="shared" si="3"/>
        <v>0.41709802368594101</v>
      </c>
    </row>
    <row r="70" spans="1:10">
      <c r="A70" t="s">
        <v>21</v>
      </c>
      <c r="B70" s="1" t="s">
        <v>18</v>
      </c>
      <c r="C70" t="s">
        <v>12</v>
      </c>
      <c r="D70">
        <v>2018</v>
      </c>
      <c r="E70" s="3">
        <v>154768727</v>
      </c>
      <c r="F70" s="3">
        <v>245000000</v>
      </c>
      <c r="G70">
        <v>58</v>
      </c>
      <c r="H70">
        <v>104</v>
      </c>
      <c r="I70" s="7">
        <f t="shared" si="2"/>
        <v>0.35802469135802467</v>
      </c>
      <c r="J70" s="7">
        <f t="shared" si="3"/>
        <v>0.37475271086257622</v>
      </c>
    </row>
    <row r="71" spans="1:10">
      <c r="A71" t="s">
        <v>22</v>
      </c>
      <c r="B71" s="1" t="s">
        <v>18</v>
      </c>
      <c r="C71" t="s">
        <v>12</v>
      </c>
      <c r="D71">
        <v>2018</v>
      </c>
      <c r="E71" s="3">
        <v>136101106</v>
      </c>
      <c r="F71" s="3">
        <v>261000000</v>
      </c>
      <c r="G71">
        <v>78</v>
      </c>
      <c r="H71">
        <v>84</v>
      </c>
      <c r="I71" s="7">
        <f t="shared" si="2"/>
        <v>0.48148148148148145</v>
      </c>
      <c r="J71" s="7">
        <f t="shared" si="3"/>
        <v>0.57310335156277137</v>
      </c>
    </row>
    <row r="72" spans="1:10">
      <c r="A72" t="s">
        <v>23</v>
      </c>
      <c r="B72" t="s">
        <v>24</v>
      </c>
      <c r="C72" t="s">
        <v>12</v>
      </c>
      <c r="D72">
        <v>2018</v>
      </c>
      <c r="E72" s="3">
        <v>180678789</v>
      </c>
      <c r="F72" s="3">
        <v>347000000</v>
      </c>
      <c r="G72">
        <v>103</v>
      </c>
      <c r="H72">
        <v>59</v>
      </c>
      <c r="I72" s="7">
        <f t="shared" si="2"/>
        <v>0.63580246913580252</v>
      </c>
      <c r="J72" s="7">
        <f t="shared" si="3"/>
        <v>0.57007245050773503</v>
      </c>
    </row>
    <row r="73" spans="1:10">
      <c r="A73" t="s">
        <v>25</v>
      </c>
      <c r="B73" s="1" t="s">
        <v>24</v>
      </c>
      <c r="C73" t="s">
        <v>12</v>
      </c>
      <c r="D73">
        <v>2018</v>
      </c>
      <c r="E73" s="3">
        <v>188052756</v>
      </c>
      <c r="F73" s="3">
        <v>334000000</v>
      </c>
      <c r="G73">
        <v>80</v>
      </c>
      <c r="H73">
        <v>82</v>
      </c>
      <c r="I73" s="7">
        <f t="shared" si="2"/>
        <v>0.49382716049382713</v>
      </c>
      <c r="J73" s="7">
        <f t="shared" si="3"/>
        <v>0.42541253689469993</v>
      </c>
    </row>
    <row r="74" spans="1:10">
      <c r="A74" t="s">
        <v>26</v>
      </c>
      <c r="B74" s="1" t="s">
        <v>24</v>
      </c>
      <c r="C74" t="s">
        <v>12</v>
      </c>
      <c r="D74">
        <v>2018</v>
      </c>
      <c r="E74" s="3">
        <v>89642846</v>
      </c>
      <c r="F74" s="3">
        <v>210000000</v>
      </c>
      <c r="G74">
        <v>97</v>
      </c>
      <c r="H74">
        <v>65</v>
      </c>
      <c r="I74" s="7">
        <f t="shared" si="2"/>
        <v>0.59876543209876543</v>
      </c>
      <c r="J74" s="7">
        <f t="shared" si="3"/>
        <v>1.0820718476519586</v>
      </c>
    </row>
    <row r="75" spans="1:10">
      <c r="A75" t="s">
        <v>27</v>
      </c>
      <c r="B75" s="1" t="s">
        <v>24</v>
      </c>
      <c r="C75" t="s">
        <v>12</v>
      </c>
      <c r="D75">
        <v>2018</v>
      </c>
      <c r="E75" s="3">
        <v>177994685</v>
      </c>
      <c r="F75" s="3">
        <v>288000000</v>
      </c>
      <c r="G75">
        <v>89</v>
      </c>
      <c r="H75">
        <v>73</v>
      </c>
      <c r="I75" s="7">
        <f t="shared" si="2"/>
        <v>0.54938271604938271</v>
      </c>
      <c r="J75" s="7">
        <f t="shared" si="3"/>
        <v>0.50001493022109056</v>
      </c>
    </row>
    <row r="76" spans="1:10">
      <c r="A76" t="s">
        <v>28</v>
      </c>
      <c r="B76" s="1" t="s">
        <v>24</v>
      </c>
      <c r="C76" t="s">
        <v>12</v>
      </c>
      <c r="D76">
        <v>2018</v>
      </c>
      <c r="E76" s="3">
        <v>159314712</v>
      </c>
      <c r="F76" s="3">
        <v>311000000</v>
      </c>
      <c r="G76">
        <v>67</v>
      </c>
      <c r="H76">
        <v>95</v>
      </c>
      <c r="I76" s="7">
        <f t="shared" si="2"/>
        <v>0.41358024691358025</v>
      </c>
      <c r="J76" s="7">
        <f t="shared" si="3"/>
        <v>0.42055124199703542</v>
      </c>
    </row>
    <row r="77" spans="1:10">
      <c r="A77" t="s">
        <v>29</v>
      </c>
      <c r="B77" t="s">
        <v>30</v>
      </c>
      <c r="C77" t="s">
        <v>31</v>
      </c>
      <c r="D77">
        <v>2018</v>
      </c>
      <c r="E77" s="3">
        <v>135949641</v>
      </c>
      <c r="F77" s="3">
        <v>336000000</v>
      </c>
      <c r="G77">
        <v>90</v>
      </c>
      <c r="H77">
        <v>72</v>
      </c>
      <c r="I77" s="7">
        <f t="shared" si="2"/>
        <v>0.55555555555555558</v>
      </c>
      <c r="J77" s="7">
        <f t="shared" si="3"/>
        <v>0.66200983936397439</v>
      </c>
    </row>
    <row r="78" spans="1:10">
      <c r="A78" t="s">
        <v>32</v>
      </c>
      <c r="B78" s="1" t="s">
        <v>30</v>
      </c>
      <c r="C78" t="s">
        <v>31</v>
      </c>
      <c r="D78">
        <v>2018</v>
      </c>
      <c r="E78" s="3">
        <v>117249787</v>
      </c>
      <c r="F78" s="3">
        <v>219000000</v>
      </c>
      <c r="G78">
        <v>63</v>
      </c>
      <c r="H78">
        <v>98</v>
      </c>
      <c r="I78" s="7">
        <f t="shared" si="2"/>
        <v>0.39130434782608697</v>
      </c>
      <c r="J78" s="7">
        <f t="shared" si="3"/>
        <v>0.53731440893790283</v>
      </c>
    </row>
    <row r="79" spans="1:10">
      <c r="A79" t="s">
        <v>33</v>
      </c>
      <c r="B79" s="1" t="s">
        <v>30</v>
      </c>
      <c r="C79" t="s">
        <v>31</v>
      </c>
      <c r="D79">
        <v>2018</v>
      </c>
      <c r="E79" s="3">
        <v>171599292</v>
      </c>
      <c r="F79" s="3">
        <v>336000000</v>
      </c>
      <c r="G79">
        <v>77</v>
      </c>
      <c r="H79">
        <v>85</v>
      </c>
      <c r="I79" s="7">
        <f t="shared" si="2"/>
        <v>0.47530864197530864</v>
      </c>
      <c r="J79" s="7">
        <f t="shared" si="3"/>
        <v>0.44871980007936163</v>
      </c>
    </row>
    <row r="80" spans="1:10">
      <c r="A80" t="s">
        <v>34</v>
      </c>
      <c r="B80" s="1" t="s">
        <v>30</v>
      </c>
      <c r="C80" t="s">
        <v>31</v>
      </c>
      <c r="D80">
        <v>2018</v>
      </c>
      <c r="E80" s="3">
        <v>171599292</v>
      </c>
      <c r="F80" s="3">
        <v>329000000</v>
      </c>
      <c r="G80">
        <v>80</v>
      </c>
      <c r="H80">
        <v>82</v>
      </c>
      <c r="I80" s="7">
        <f t="shared" si="2"/>
        <v>0.49382716049382713</v>
      </c>
      <c r="J80" s="7">
        <f t="shared" si="3"/>
        <v>0.46620238969284328</v>
      </c>
    </row>
    <row r="81" spans="1:10">
      <c r="A81" t="s">
        <v>35</v>
      </c>
      <c r="B81" s="1" t="s">
        <v>30</v>
      </c>
      <c r="C81" t="s">
        <v>31</v>
      </c>
      <c r="D81">
        <v>2018</v>
      </c>
      <c r="E81" s="3">
        <v>181303398</v>
      </c>
      <c r="F81" s="3">
        <v>311000000</v>
      </c>
      <c r="G81">
        <v>82</v>
      </c>
      <c r="H81">
        <v>80</v>
      </c>
      <c r="I81" s="7">
        <f t="shared" si="2"/>
        <v>0.50617283950617287</v>
      </c>
      <c r="J81" s="7">
        <f t="shared" si="3"/>
        <v>0.45228054688748859</v>
      </c>
    </row>
    <row r="82" spans="1:10">
      <c r="A82" t="s">
        <v>36</v>
      </c>
      <c r="B82" t="s">
        <v>37</v>
      </c>
      <c r="C82" t="s">
        <v>31</v>
      </c>
      <c r="D82">
        <v>2018</v>
      </c>
      <c r="E82" s="3">
        <v>197836804</v>
      </c>
      <c r="F82" s="3">
        <v>457000000</v>
      </c>
      <c r="G82">
        <v>95</v>
      </c>
      <c r="H82">
        <v>68</v>
      </c>
      <c r="I82" s="7">
        <f t="shared" si="2"/>
        <v>0.58282208588957052</v>
      </c>
      <c r="J82" s="7">
        <f t="shared" si="3"/>
        <v>0.48019376617103054</v>
      </c>
    </row>
    <row r="83" spans="1:10">
      <c r="A83" t="s">
        <v>38</v>
      </c>
      <c r="B83" s="1" t="s">
        <v>37</v>
      </c>
      <c r="C83" t="s">
        <v>31</v>
      </c>
      <c r="D83">
        <v>2018</v>
      </c>
      <c r="E83" s="3">
        <v>121942155</v>
      </c>
      <c r="F83" s="3">
        <v>243000000</v>
      </c>
      <c r="G83">
        <v>67</v>
      </c>
      <c r="H83">
        <v>95</v>
      </c>
      <c r="I83" s="7">
        <f t="shared" si="2"/>
        <v>0.41358024691358025</v>
      </c>
      <c r="J83" s="7">
        <f t="shared" si="3"/>
        <v>0.54944083938815091</v>
      </c>
    </row>
    <row r="84" spans="1:10">
      <c r="A84" t="s">
        <v>39</v>
      </c>
      <c r="B84" s="1" t="s">
        <v>37</v>
      </c>
      <c r="C84" t="s">
        <v>31</v>
      </c>
      <c r="D84">
        <v>2018</v>
      </c>
      <c r="E84" s="6">
        <v>129147547</v>
      </c>
      <c r="F84" s="3">
        <v>255000000</v>
      </c>
      <c r="G84">
        <v>96</v>
      </c>
      <c r="H84">
        <v>67</v>
      </c>
      <c r="I84" s="7">
        <f t="shared" si="2"/>
        <v>0.58895705521472397</v>
      </c>
      <c r="J84" s="7">
        <f t="shared" si="3"/>
        <v>0.74333583742012532</v>
      </c>
    </row>
    <row r="85" spans="1:10">
      <c r="A85" t="s">
        <v>40</v>
      </c>
      <c r="B85" s="1" t="s">
        <v>37</v>
      </c>
      <c r="C85" t="s">
        <v>31</v>
      </c>
      <c r="D85">
        <v>2018</v>
      </c>
      <c r="E85" s="3">
        <v>106058462</v>
      </c>
      <c r="F85" s="3">
        <v>258000000</v>
      </c>
      <c r="G85">
        <v>82</v>
      </c>
      <c r="H85">
        <v>79</v>
      </c>
      <c r="I85" s="7">
        <f t="shared" si="2"/>
        <v>0.50931677018633537</v>
      </c>
      <c r="J85" s="7">
        <f t="shared" si="3"/>
        <v>0.77315848687302291</v>
      </c>
    </row>
    <row r="86" spans="1:10">
      <c r="A86" t="s">
        <v>41</v>
      </c>
      <c r="B86" s="1" t="s">
        <v>37</v>
      </c>
      <c r="C86" t="s">
        <v>31</v>
      </c>
      <c r="D86">
        <v>2018</v>
      </c>
      <c r="E86" s="3">
        <v>181922326</v>
      </c>
      <c r="F86" s="3">
        <v>319000000</v>
      </c>
      <c r="G86">
        <v>88</v>
      </c>
      <c r="H86">
        <v>74</v>
      </c>
      <c r="I86" s="7">
        <f t="shared" si="2"/>
        <v>0.54320987654320985</v>
      </c>
      <c r="J86" s="7">
        <f t="shared" si="3"/>
        <v>0.48372292689353585</v>
      </c>
    </row>
    <row r="87" spans="1:10">
      <c r="A87" t="s">
        <v>42</v>
      </c>
      <c r="B87" t="s">
        <v>43</v>
      </c>
      <c r="C87" t="s">
        <v>31</v>
      </c>
      <c r="D87">
        <v>2018</v>
      </c>
      <c r="E87" s="3">
        <v>141408997</v>
      </c>
      <c r="F87" s="3">
        <v>258000000</v>
      </c>
      <c r="G87">
        <v>82</v>
      </c>
      <c r="H87">
        <v>80</v>
      </c>
      <c r="I87" s="7">
        <f t="shared" si="2"/>
        <v>0.50617283950617287</v>
      </c>
      <c r="J87" s="7">
        <f t="shared" si="3"/>
        <v>0.57987823787477966</v>
      </c>
    </row>
    <row r="88" spans="1:10">
      <c r="A88" t="s">
        <v>44</v>
      </c>
      <c r="B88" t="s">
        <v>43</v>
      </c>
      <c r="C88" t="s">
        <v>31</v>
      </c>
      <c r="D88">
        <v>2018</v>
      </c>
      <c r="E88" s="3">
        <v>163381181</v>
      </c>
      <c r="F88" s="3">
        <v>266000000</v>
      </c>
      <c r="G88">
        <v>91</v>
      </c>
      <c r="H88">
        <v>72</v>
      </c>
      <c r="I88" s="7">
        <f t="shared" si="2"/>
        <v>0.55828220858895705</v>
      </c>
      <c r="J88" s="7">
        <f t="shared" si="3"/>
        <v>0.55697969278358928</v>
      </c>
    </row>
    <row r="89" spans="1:10">
      <c r="A89" t="s">
        <v>45</v>
      </c>
      <c r="B89" t="s">
        <v>43</v>
      </c>
      <c r="C89" t="s">
        <v>31</v>
      </c>
      <c r="D89">
        <v>2018</v>
      </c>
      <c r="E89" s="3">
        <v>198164228</v>
      </c>
      <c r="F89" s="3">
        <v>522000000</v>
      </c>
      <c r="G89">
        <v>92</v>
      </c>
      <c r="H89">
        <v>71</v>
      </c>
      <c r="I89" s="7">
        <f t="shared" si="2"/>
        <v>0.56441717791411039</v>
      </c>
      <c r="J89" s="7">
        <f t="shared" si="3"/>
        <v>0.46426139030501506</v>
      </c>
    </row>
    <row r="90" spans="1:10">
      <c r="A90" t="s">
        <v>46</v>
      </c>
      <c r="B90" t="s">
        <v>43</v>
      </c>
      <c r="C90" t="s">
        <v>31</v>
      </c>
      <c r="D90">
        <v>2018</v>
      </c>
      <c r="E90" s="3">
        <v>121556239</v>
      </c>
      <c r="F90" s="3">
        <v>266000000</v>
      </c>
      <c r="G90">
        <v>66</v>
      </c>
      <c r="H90">
        <v>96</v>
      </c>
      <c r="I90" s="7">
        <f t="shared" si="2"/>
        <v>0.40740740740740738</v>
      </c>
      <c r="J90" s="7">
        <f t="shared" si="3"/>
        <v>0.54295855599810061</v>
      </c>
    </row>
    <row r="91" spans="1:10">
      <c r="A91" t="s">
        <v>47</v>
      </c>
      <c r="B91" t="s">
        <v>43</v>
      </c>
      <c r="C91" t="s">
        <v>31</v>
      </c>
      <c r="D91">
        <v>2018</v>
      </c>
      <c r="E91" s="3">
        <v>219914313</v>
      </c>
      <c r="F91" s="3">
        <v>445000000</v>
      </c>
      <c r="G91">
        <v>73</v>
      </c>
      <c r="H91">
        <v>89</v>
      </c>
      <c r="I91" s="7">
        <f t="shared" si="2"/>
        <v>0.45061728395061729</v>
      </c>
      <c r="J91" s="7">
        <f t="shared" si="3"/>
        <v>0.33194747083151427</v>
      </c>
    </row>
    <row r="92" spans="1:10">
      <c r="A92" t="s">
        <v>10</v>
      </c>
      <c r="B92" t="s">
        <v>11</v>
      </c>
      <c r="C92" t="s">
        <v>12</v>
      </c>
      <c r="D92">
        <v>2019</v>
      </c>
      <c r="E92" s="3">
        <v>95325852</v>
      </c>
      <c r="F92" s="3">
        <v>251000000</v>
      </c>
      <c r="G92">
        <v>54</v>
      </c>
      <c r="H92">
        <v>108</v>
      </c>
      <c r="I92" s="7">
        <f t="shared" si="2"/>
        <v>0.33333333333333331</v>
      </c>
      <c r="J92" s="7">
        <f t="shared" si="3"/>
        <v>0.56647802109337564</v>
      </c>
    </row>
    <row r="93" spans="1:10">
      <c r="A93" t="s">
        <v>13</v>
      </c>
      <c r="B93" t="s">
        <v>11</v>
      </c>
      <c r="C93" t="s">
        <v>12</v>
      </c>
      <c r="D93">
        <v>2019</v>
      </c>
      <c r="E93" s="3">
        <v>254368515</v>
      </c>
      <c r="F93" s="3">
        <v>516000000</v>
      </c>
      <c r="G93">
        <v>84</v>
      </c>
      <c r="H93">
        <v>78</v>
      </c>
      <c r="I93" s="7">
        <f t="shared" si="2"/>
        <v>0.51851851851851849</v>
      </c>
      <c r="J93" s="7">
        <f t="shared" si="3"/>
        <v>0.33022954904619384</v>
      </c>
    </row>
    <row r="94" spans="1:10">
      <c r="A94" t="s">
        <v>14</v>
      </c>
      <c r="B94" s="1" t="s">
        <v>11</v>
      </c>
      <c r="C94" t="s">
        <v>12</v>
      </c>
      <c r="D94">
        <v>2019</v>
      </c>
      <c r="E94" s="3">
        <v>253441440</v>
      </c>
      <c r="F94" s="3">
        <v>668000000</v>
      </c>
      <c r="G94">
        <v>103</v>
      </c>
      <c r="H94">
        <v>59</v>
      </c>
      <c r="I94" s="7">
        <f t="shared" si="2"/>
        <v>0.63580246913580252</v>
      </c>
      <c r="J94" s="7">
        <f t="shared" si="3"/>
        <v>0.40640551916056034</v>
      </c>
    </row>
    <row r="95" spans="1:10">
      <c r="A95" t="s">
        <v>15</v>
      </c>
      <c r="B95" s="1" t="s">
        <v>11</v>
      </c>
      <c r="C95" t="s">
        <v>12</v>
      </c>
      <c r="D95">
        <v>2019</v>
      </c>
      <c r="E95" s="3">
        <v>84958396</v>
      </c>
      <c r="F95" s="3">
        <v>228000000</v>
      </c>
      <c r="G95">
        <v>96</v>
      </c>
      <c r="H95">
        <v>66</v>
      </c>
      <c r="I95" s="7">
        <f t="shared" si="2"/>
        <v>0.59259259259259256</v>
      </c>
      <c r="J95" s="7">
        <f t="shared" si="3"/>
        <v>1.1299648359651235</v>
      </c>
    </row>
    <row r="96" spans="1:10">
      <c r="A96" t="s">
        <v>16</v>
      </c>
      <c r="B96" s="1" t="s">
        <v>11</v>
      </c>
      <c r="C96" t="s">
        <v>12</v>
      </c>
      <c r="D96">
        <v>2019</v>
      </c>
      <c r="E96" s="3">
        <v>133891628</v>
      </c>
      <c r="F96" s="3">
        <v>265000000</v>
      </c>
      <c r="G96">
        <v>67</v>
      </c>
      <c r="H96">
        <v>95</v>
      </c>
      <c r="I96" s="7">
        <f t="shared" si="2"/>
        <v>0.41358024691358025</v>
      </c>
      <c r="J96" s="7">
        <f t="shared" si="3"/>
        <v>0.50040470043429452</v>
      </c>
    </row>
    <row r="97" spans="1:10">
      <c r="A97" t="s">
        <v>17</v>
      </c>
      <c r="B97" t="s">
        <v>18</v>
      </c>
      <c r="C97" t="s">
        <v>12</v>
      </c>
      <c r="D97">
        <v>2019</v>
      </c>
      <c r="E97" s="3">
        <v>117946970</v>
      </c>
      <c r="F97" s="3">
        <v>272000000</v>
      </c>
      <c r="G97">
        <v>72</v>
      </c>
      <c r="H97">
        <v>89</v>
      </c>
      <c r="I97" s="7">
        <f t="shared" si="2"/>
        <v>0.44720496894409939</v>
      </c>
      <c r="J97" s="7">
        <f t="shared" si="3"/>
        <v>0.61044382912083295</v>
      </c>
    </row>
    <row r="98" spans="1:10">
      <c r="A98" t="s">
        <v>19</v>
      </c>
      <c r="B98" s="1" t="s">
        <v>18</v>
      </c>
      <c r="C98" t="s">
        <v>12</v>
      </c>
      <c r="D98">
        <v>2019</v>
      </c>
      <c r="E98" s="3">
        <v>119003098</v>
      </c>
      <c r="F98" s="3">
        <v>282000000</v>
      </c>
      <c r="G98">
        <v>93</v>
      </c>
      <c r="H98">
        <v>69</v>
      </c>
      <c r="I98" s="7">
        <f t="shared" si="2"/>
        <v>0.57407407407407407</v>
      </c>
      <c r="J98" s="7">
        <f t="shared" si="3"/>
        <v>0.78149225997461014</v>
      </c>
    </row>
    <row r="99" spans="1:10">
      <c r="A99" t="s">
        <v>20</v>
      </c>
      <c r="B99" s="1" t="s">
        <v>18</v>
      </c>
      <c r="C99" t="s">
        <v>12</v>
      </c>
      <c r="D99">
        <v>2019</v>
      </c>
      <c r="E99" s="3">
        <v>133378459</v>
      </c>
      <c r="F99" s="3">
        <v>276000000</v>
      </c>
      <c r="G99">
        <v>47</v>
      </c>
      <c r="H99">
        <v>114</v>
      </c>
      <c r="I99" s="7">
        <f t="shared" si="2"/>
        <v>0.29192546583850931</v>
      </c>
      <c r="J99" s="7">
        <f t="shared" si="3"/>
        <v>0.35238073938161185</v>
      </c>
    </row>
    <row r="100" spans="1:10">
      <c r="A100" t="s">
        <v>21</v>
      </c>
      <c r="B100" s="1" t="s">
        <v>18</v>
      </c>
      <c r="C100" t="s">
        <v>12</v>
      </c>
      <c r="D100">
        <v>2019</v>
      </c>
      <c r="E100" s="3">
        <v>108338503</v>
      </c>
      <c r="F100" s="3">
        <v>244000000</v>
      </c>
      <c r="G100">
        <v>59</v>
      </c>
      <c r="H100">
        <v>103</v>
      </c>
      <c r="I100" s="7">
        <f t="shared" si="2"/>
        <v>0.36419753086419754</v>
      </c>
      <c r="J100" s="7">
        <f t="shared" si="3"/>
        <v>0.54458939680936891</v>
      </c>
    </row>
    <row r="101" spans="1:10">
      <c r="A101" t="s">
        <v>22</v>
      </c>
      <c r="B101" s="1" t="s">
        <v>18</v>
      </c>
      <c r="C101" t="s">
        <v>12</v>
      </c>
      <c r="D101">
        <v>2019</v>
      </c>
      <c r="E101" s="3">
        <v>141851527</v>
      </c>
      <c r="F101" s="3">
        <v>269000000</v>
      </c>
      <c r="G101">
        <v>101</v>
      </c>
      <c r="H101">
        <v>61</v>
      </c>
      <c r="I101" s="7">
        <f t="shared" si="2"/>
        <v>0.62345679012345678</v>
      </c>
      <c r="J101" s="7">
        <f t="shared" si="3"/>
        <v>0.71201207442765135</v>
      </c>
    </row>
    <row r="102" spans="1:10">
      <c r="A102" t="s">
        <v>23</v>
      </c>
      <c r="B102" t="s">
        <v>24</v>
      </c>
      <c r="C102" t="s">
        <v>12</v>
      </c>
      <c r="D102">
        <v>2019</v>
      </c>
      <c r="E102" s="3">
        <v>195145798</v>
      </c>
      <c r="F102" s="3">
        <v>368000000</v>
      </c>
      <c r="G102">
        <v>107</v>
      </c>
      <c r="H102">
        <v>55</v>
      </c>
      <c r="I102" s="7">
        <f t="shared" si="2"/>
        <v>0.66049382716049387</v>
      </c>
      <c r="J102" s="7">
        <f t="shared" si="3"/>
        <v>0.54830798867624087</v>
      </c>
    </row>
    <row r="103" spans="1:10">
      <c r="A103" t="s">
        <v>25</v>
      </c>
      <c r="B103" s="1" t="s">
        <v>24</v>
      </c>
      <c r="C103" t="s">
        <v>12</v>
      </c>
      <c r="D103">
        <v>2019</v>
      </c>
      <c r="E103" s="3">
        <v>194899341</v>
      </c>
      <c r="F103" s="3">
        <v>348000000</v>
      </c>
      <c r="G103">
        <v>72</v>
      </c>
      <c r="H103">
        <v>90</v>
      </c>
      <c r="I103" s="7">
        <f t="shared" si="2"/>
        <v>0.44444444444444442</v>
      </c>
      <c r="J103" s="7">
        <f t="shared" si="3"/>
        <v>0.369421464590791</v>
      </c>
    </row>
    <row r="104" spans="1:10">
      <c r="A104" t="s">
        <v>26</v>
      </c>
      <c r="B104" s="1" t="s">
        <v>24</v>
      </c>
      <c r="C104" t="s">
        <v>12</v>
      </c>
      <c r="D104">
        <v>2019</v>
      </c>
      <c r="E104" s="3">
        <v>118737477</v>
      </c>
      <c r="F104" s="3">
        <v>218000000</v>
      </c>
      <c r="G104">
        <v>97</v>
      </c>
      <c r="H104">
        <v>65</v>
      </c>
      <c r="I104" s="7">
        <f t="shared" si="2"/>
        <v>0.59876543209876543</v>
      </c>
      <c r="J104" s="7">
        <f t="shared" si="3"/>
        <v>0.8169282559372556</v>
      </c>
    </row>
    <row r="105" spans="1:10">
      <c r="A105" t="s">
        <v>27</v>
      </c>
      <c r="B105" s="1" t="s">
        <v>24</v>
      </c>
      <c r="C105" t="s">
        <v>12</v>
      </c>
      <c r="D105">
        <v>2019</v>
      </c>
      <c r="E105" s="3">
        <v>162059894</v>
      </c>
      <c r="F105" s="3">
        <v>320000000</v>
      </c>
      <c r="G105">
        <v>68</v>
      </c>
      <c r="H105">
        <v>94</v>
      </c>
      <c r="I105" s="7">
        <f t="shared" si="2"/>
        <v>0.41975308641975306</v>
      </c>
      <c r="J105" s="7">
        <f t="shared" si="3"/>
        <v>0.41959795432175212</v>
      </c>
    </row>
    <row r="106" spans="1:10">
      <c r="A106" t="s">
        <v>28</v>
      </c>
      <c r="B106" s="1" t="s">
        <v>24</v>
      </c>
      <c r="C106" t="s">
        <v>12</v>
      </c>
      <c r="D106">
        <v>2019</v>
      </c>
      <c r="E106" s="3">
        <v>172476773</v>
      </c>
      <c r="F106" s="3">
        <v>324000000</v>
      </c>
      <c r="G106">
        <v>78</v>
      </c>
      <c r="H106">
        <v>84</v>
      </c>
      <c r="I106" s="7">
        <f t="shared" si="2"/>
        <v>0.48148148148148145</v>
      </c>
      <c r="J106" s="7">
        <f t="shared" si="3"/>
        <v>0.45223480613241757</v>
      </c>
    </row>
    <row r="107" spans="1:10">
      <c r="A107" t="s">
        <v>29</v>
      </c>
      <c r="B107" t="s">
        <v>30</v>
      </c>
      <c r="C107" t="s">
        <v>31</v>
      </c>
      <c r="D107">
        <v>2019</v>
      </c>
      <c r="E107" s="3">
        <v>171665469</v>
      </c>
      <c r="F107" s="3">
        <v>344000000</v>
      </c>
      <c r="G107">
        <v>97</v>
      </c>
      <c r="H107">
        <v>65</v>
      </c>
      <c r="I107" s="7">
        <f t="shared" si="2"/>
        <v>0.59876543209876543</v>
      </c>
      <c r="J107" s="7">
        <f t="shared" si="3"/>
        <v>0.5650524858904501</v>
      </c>
    </row>
    <row r="108" spans="1:10">
      <c r="A108" t="s">
        <v>32</v>
      </c>
      <c r="B108" s="1" t="s">
        <v>30</v>
      </c>
      <c r="C108" t="s">
        <v>31</v>
      </c>
      <c r="D108">
        <v>2019</v>
      </c>
      <c r="E108" s="3">
        <v>94753046</v>
      </c>
      <c r="F108" s="3">
        <v>224000000</v>
      </c>
      <c r="G108">
        <v>57</v>
      </c>
      <c r="H108">
        <v>105</v>
      </c>
      <c r="I108" s="7">
        <f t="shared" si="2"/>
        <v>0.35185185185185186</v>
      </c>
      <c r="J108" s="7">
        <f t="shared" si="3"/>
        <v>0.60156377453026688</v>
      </c>
    </row>
    <row r="109" spans="1:10">
      <c r="A109" t="s">
        <v>33</v>
      </c>
      <c r="B109" s="1" t="s">
        <v>30</v>
      </c>
      <c r="C109" t="s">
        <v>31</v>
      </c>
      <c r="D109">
        <v>2019</v>
      </c>
      <c r="E109" s="3">
        <v>169729394</v>
      </c>
      <c r="F109" s="3">
        <v>340000000</v>
      </c>
      <c r="G109">
        <v>86</v>
      </c>
      <c r="H109">
        <v>76</v>
      </c>
      <c r="I109" s="7">
        <f t="shared" si="2"/>
        <v>0.53086419753086422</v>
      </c>
      <c r="J109" s="7">
        <f t="shared" si="3"/>
        <v>0.50668890033272607</v>
      </c>
    </row>
    <row r="110" spans="1:10">
      <c r="A110" t="s">
        <v>34</v>
      </c>
      <c r="B110" s="1" t="s">
        <v>30</v>
      </c>
      <c r="C110" t="s">
        <v>31</v>
      </c>
      <c r="D110">
        <v>2019</v>
      </c>
      <c r="E110" s="3">
        <v>194409604</v>
      </c>
      <c r="F110" s="3">
        <v>341000000</v>
      </c>
      <c r="G110">
        <v>81</v>
      </c>
      <c r="H110">
        <v>81</v>
      </c>
      <c r="I110" s="7">
        <f t="shared" si="2"/>
        <v>0.5</v>
      </c>
      <c r="J110" s="7">
        <f t="shared" si="3"/>
        <v>0.4166460829784932</v>
      </c>
    </row>
    <row r="111" spans="1:10">
      <c r="A111" t="s">
        <v>35</v>
      </c>
      <c r="B111" s="1" t="s">
        <v>30</v>
      </c>
      <c r="C111" t="s">
        <v>31</v>
      </c>
      <c r="D111">
        <v>2019</v>
      </c>
      <c r="E111" s="3">
        <v>159857990</v>
      </c>
      <c r="F111" s="3">
        <v>336000000</v>
      </c>
      <c r="G111">
        <v>93</v>
      </c>
      <c r="H111">
        <v>69</v>
      </c>
      <c r="I111" s="7">
        <f t="shared" si="2"/>
        <v>0.57407407407407407</v>
      </c>
      <c r="J111" s="7">
        <f t="shared" si="3"/>
        <v>0.58176635399957177</v>
      </c>
    </row>
    <row r="112" spans="1:10">
      <c r="A112" t="s">
        <v>36</v>
      </c>
      <c r="B112" t="s">
        <v>37</v>
      </c>
      <c r="C112" t="s">
        <v>31</v>
      </c>
      <c r="D112">
        <v>2019</v>
      </c>
      <c r="E112" s="3">
        <v>228642090</v>
      </c>
      <c r="F112" s="3">
        <v>452000000</v>
      </c>
      <c r="G112">
        <v>84</v>
      </c>
      <c r="H112">
        <v>78</v>
      </c>
      <c r="I112" s="7">
        <f t="shared" si="2"/>
        <v>0.51851851851851849</v>
      </c>
      <c r="J112" s="7">
        <f t="shared" si="3"/>
        <v>0.36738642478294353</v>
      </c>
    </row>
    <row r="113" spans="1:10">
      <c r="A113" t="s">
        <v>38</v>
      </c>
      <c r="B113" s="1" t="s">
        <v>37</v>
      </c>
      <c r="C113" t="s">
        <v>31</v>
      </c>
      <c r="D113">
        <v>2019</v>
      </c>
      <c r="E113" s="3">
        <v>153728169</v>
      </c>
      <c r="F113" s="3">
        <v>257000000</v>
      </c>
      <c r="G113">
        <v>75</v>
      </c>
      <c r="H113">
        <v>87</v>
      </c>
      <c r="I113" s="7">
        <f t="shared" si="2"/>
        <v>0.46296296296296297</v>
      </c>
      <c r="J113" s="7">
        <f t="shared" si="3"/>
        <v>0.48787415141853407</v>
      </c>
    </row>
    <row r="114" spans="1:10">
      <c r="A114" t="s">
        <v>39</v>
      </c>
      <c r="B114" s="1" t="s">
        <v>37</v>
      </c>
      <c r="C114" t="s">
        <v>31</v>
      </c>
      <c r="D114">
        <v>2019</v>
      </c>
      <c r="E114" s="3">
        <v>148939014</v>
      </c>
      <c r="F114" s="3">
        <v>288000000</v>
      </c>
      <c r="G114">
        <v>89</v>
      </c>
      <c r="H114">
        <v>73</v>
      </c>
      <c r="I114" s="7">
        <f t="shared" si="2"/>
        <v>0.54938271604938271</v>
      </c>
      <c r="J114" s="7">
        <f t="shared" si="3"/>
        <v>0.59756001876043041</v>
      </c>
    </row>
    <row r="115" spans="1:10">
      <c r="A115" t="s">
        <v>40</v>
      </c>
      <c r="B115" s="1" t="s">
        <v>37</v>
      </c>
      <c r="C115" t="s">
        <v>31</v>
      </c>
      <c r="D115">
        <v>2019</v>
      </c>
      <c r="E115" s="3">
        <v>92215708</v>
      </c>
      <c r="F115" s="3">
        <v>254000000</v>
      </c>
      <c r="G115">
        <v>69</v>
      </c>
      <c r="H115">
        <v>93</v>
      </c>
      <c r="I115" s="7">
        <f t="shared" si="2"/>
        <v>0.42592592592592593</v>
      </c>
      <c r="J115" s="7">
        <f t="shared" si="3"/>
        <v>0.7482456242704334</v>
      </c>
    </row>
    <row r="116" spans="1:10">
      <c r="A116" t="s">
        <v>41</v>
      </c>
      <c r="B116" s="1" t="s">
        <v>37</v>
      </c>
      <c r="C116" t="s">
        <v>31</v>
      </c>
      <c r="D116">
        <v>2019</v>
      </c>
      <c r="E116" s="3">
        <v>189957474</v>
      </c>
      <c r="F116" s="3">
        <v>356000000</v>
      </c>
      <c r="G116">
        <v>91</v>
      </c>
      <c r="H116">
        <v>71</v>
      </c>
      <c r="I116" s="7">
        <f t="shared" si="2"/>
        <v>0.56172839506172845</v>
      </c>
      <c r="J116" s="7">
        <f t="shared" si="3"/>
        <v>0.47905459092386121</v>
      </c>
    </row>
    <row r="117" spans="1:10">
      <c r="A117" t="s">
        <v>42</v>
      </c>
      <c r="B117" t="s">
        <v>43</v>
      </c>
      <c r="C117" t="s">
        <v>31</v>
      </c>
      <c r="D117">
        <v>2019</v>
      </c>
      <c r="E117" s="3">
        <v>152586205</v>
      </c>
      <c r="F117" s="3">
        <v>275000000</v>
      </c>
      <c r="G117">
        <v>85</v>
      </c>
      <c r="H117">
        <v>77</v>
      </c>
      <c r="I117" s="7">
        <f t="shared" si="2"/>
        <v>0.52469135802469136</v>
      </c>
      <c r="J117" s="7">
        <f t="shared" si="3"/>
        <v>0.55706215381659174</v>
      </c>
    </row>
    <row r="118" spans="1:10">
      <c r="A118" t="s">
        <v>44</v>
      </c>
      <c r="B118" t="s">
        <v>43</v>
      </c>
      <c r="C118" t="s">
        <v>31</v>
      </c>
      <c r="D118">
        <v>2019</v>
      </c>
      <c r="E118" s="3">
        <v>167989742</v>
      </c>
      <c r="F118" s="3">
        <v>291000000</v>
      </c>
      <c r="G118">
        <v>71</v>
      </c>
      <c r="H118">
        <v>91</v>
      </c>
      <c r="I118" s="7">
        <f t="shared" si="2"/>
        <v>0.43827160493827161</v>
      </c>
      <c r="J118" s="7">
        <f t="shared" si="3"/>
        <v>0.42264485411258024</v>
      </c>
    </row>
    <row r="119" spans="1:10">
      <c r="A119" t="s">
        <v>45</v>
      </c>
      <c r="B119" t="s">
        <v>43</v>
      </c>
      <c r="C119" t="s">
        <v>31</v>
      </c>
      <c r="D119">
        <v>2019</v>
      </c>
      <c r="E119" s="3">
        <v>240651314</v>
      </c>
      <c r="F119" s="3">
        <v>549000000</v>
      </c>
      <c r="G119">
        <v>106</v>
      </c>
      <c r="H119">
        <v>56</v>
      </c>
      <c r="I119" s="7">
        <f t="shared" si="2"/>
        <v>0.65432098765432101</v>
      </c>
      <c r="J119" s="7">
        <f t="shared" si="3"/>
        <v>0.44047131194970329</v>
      </c>
    </row>
    <row r="120" spans="1:10">
      <c r="A120" t="s">
        <v>46</v>
      </c>
      <c r="B120" t="s">
        <v>43</v>
      </c>
      <c r="C120" t="s">
        <v>31</v>
      </c>
      <c r="D120">
        <v>2019</v>
      </c>
      <c r="E120" s="3">
        <v>140254742</v>
      </c>
      <c r="F120" s="3">
        <v>277000000</v>
      </c>
      <c r="G120">
        <v>70</v>
      </c>
      <c r="H120">
        <v>92</v>
      </c>
      <c r="I120" s="7">
        <f t="shared" si="2"/>
        <v>0.43209876543209874</v>
      </c>
      <c r="J120" s="7">
        <f t="shared" si="3"/>
        <v>0.49909185958218799</v>
      </c>
    </row>
    <row r="121" spans="1:10">
      <c r="A121" t="s">
        <v>47</v>
      </c>
      <c r="B121" t="s">
        <v>43</v>
      </c>
      <c r="C121" t="s">
        <v>31</v>
      </c>
      <c r="D121">
        <v>2019</v>
      </c>
      <c r="E121" s="3">
        <v>189408441</v>
      </c>
      <c r="F121" s="3">
        <v>462000000</v>
      </c>
      <c r="G121">
        <v>77</v>
      </c>
      <c r="H121">
        <v>85</v>
      </c>
      <c r="I121" s="7">
        <f t="shared" si="2"/>
        <v>0.47530864197530864</v>
      </c>
      <c r="J121" s="7">
        <f t="shared" si="3"/>
        <v>0.40652887270214105</v>
      </c>
    </row>
    <row r="122" spans="1:10">
      <c r="A122" t="s">
        <v>10</v>
      </c>
      <c r="B122" t="s">
        <v>11</v>
      </c>
      <c r="C122" t="s">
        <v>12</v>
      </c>
      <c r="D122">
        <v>2020</v>
      </c>
      <c r="E122" s="3">
        <v>40418929</v>
      </c>
      <c r="F122" s="3">
        <v>256000000</v>
      </c>
      <c r="G122">
        <v>25</v>
      </c>
      <c r="H122">
        <v>35</v>
      </c>
      <c r="I122" s="7">
        <f t="shared" si="2"/>
        <v>0.41666666666666669</v>
      </c>
      <c r="J122" s="7">
        <f t="shared" si="3"/>
        <v>0.61852207909813739</v>
      </c>
    </row>
    <row r="123" spans="1:10">
      <c r="A123" t="s">
        <v>13</v>
      </c>
      <c r="B123" t="s">
        <v>11</v>
      </c>
      <c r="C123" t="s">
        <v>12</v>
      </c>
      <c r="D123">
        <v>2020</v>
      </c>
      <c r="E123" s="3">
        <v>74084729</v>
      </c>
      <c r="F123" s="3">
        <v>519000000</v>
      </c>
      <c r="G123">
        <v>24</v>
      </c>
      <c r="H123">
        <v>36</v>
      </c>
      <c r="I123" s="7">
        <f t="shared" si="2"/>
        <v>0.4</v>
      </c>
      <c r="J123" s="7">
        <f t="shared" si="3"/>
        <v>0.32395340205671808</v>
      </c>
    </row>
    <row r="124" spans="1:10">
      <c r="A124" t="s">
        <v>14</v>
      </c>
      <c r="B124" s="1" t="s">
        <v>11</v>
      </c>
      <c r="C124" t="s">
        <v>12</v>
      </c>
      <c r="D124">
        <v>2020</v>
      </c>
      <c r="E124" s="3">
        <v>118386451</v>
      </c>
      <c r="F124" s="3">
        <v>683000000</v>
      </c>
      <c r="G124">
        <v>33</v>
      </c>
      <c r="H124">
        <v>27</v>
      </c>
      <c r="I124" s="7">
        <f t="shared" si="2"/>
        <v>0.55000000000000004</v>
      </c>
      <c r="J124" s="7">
        <f t="shared" si="3"/>
        <v>0.27874811451185405</v>
      </c>
    </row>
    <row r="125" spans="1:10">
      <c r="A125" t="s">
        <v>15</v>
      </c>
      <c r="B125" s="1" t="s">
        <v>11</v>
      </c>
      <c r="C125" t="s">
        <v>12</v>
      </c>
      <c r="D125">
        <v>2020</v>
      </c>
      <c r="E125" s="3">
        <v>38531853</v>
      </c>
      <c r="F125" s="3">
        <v>264000000</v>
      </c>
      <c r="G125">
        <v>40</v>
      </c>
      <c r="H125">
        <v>20</v>
      </c>
      <c r="I125" s="7">
        <f t="shared" si="2"/>
        <v>0.66666666666666663</v>
      </c>
      <c r="J125" s="7">
        <f t="shared" si="3"/>
        <v>1.0381021644611796</v>
      </c>
    </row>
    <row r="126" spans="1:10">
      <c r="A126" t="s">
        <v>16</v>
      </c>
      <c r="B126" s="1" t="s">
        <v>11</v>
      </c>
      <c r="C126" t="s">
        <v>12</v>
      </c>
      <c r="D126">
        <v>2020</v>
      </c>
      <c r="E126" s="3">
        <v>64606959</v>
      </c>
      <c r="F126" s="3">
        <v>265000000</v>
      </c>
      <c r="G126">
        <v>32</v>
      </c>
      <c r="H126">
        <v>28</v>
      </c>
      <c r="I126" s="7">
        <f t="shared" si="2"/>
        <v>0.53333333333333333</v>
      </c>
      <c r="J126" s="7">
        <f t="shared" si="3"/>
        <v>0.49530268093875146</v>
      </c>
    </row>
    <row r="127" spans="1:10">
      <c r="A127" t="s">
        <v>17</v>
      </c>
      <c r="B127" t="s">
        <v>18</v>
      </c>
      <c r="C127" t="s">
        <v>12</v>
      </c>
      <c r="D127">
        <v>2020</v>
      </c>
      <c r="E127" s="3">
        <v>70219545</v>
      </c>
      <c r="F127" s="3">
        <v>285000000</v>
      </c>
      <c r="G127">
        <v>35</v>
      </c>
      <c r="H127">
        <v>25</v>
      </c>
      <c r="I127" s="7">
        <f t="shared" si="2"/>
        <v>0.58333333333333337</v>
      </c>
      <c r="J127" s="7">
        <f t="shared" si="3"/>
        <v>0.49843672441910586</v>
      </c>
    </row>
    <row r="128" spans="1:10">
      <c r="A128" t="s">
        <v>19</v>
      </c>
      <c r="B128" s="1" t="s">
        <v>18</v>
      </c>
      <c r="C128" t="s">
        <v>12</v>
      </c>
      <c r="D128">
        <v>2020</v>
      </c>
      <c r="E128" s="3">
        <v>45710217</v>
      </c>
      <c r="F128" s="3">
        <v>290000000</v>
      </c>
      <c r="G128">
        <v>35</v>
      </c>
      <c r="H128">
        <v>25</v>
      </c>
      <c r="I128" s="7">
        <f t="shared" si="2"/>
        <v>0.58333333333333337</v>
      </c>
      <c r="J128" s="7">
        <f t="shared" si="3"/>
        <v>0.76569314908305952</v>
      </c>
    </row>
    <row r="129" spans="1:10">
      <c r="A129" t="s">
        <v>20</v>
      </c>
      <c r="B129" s="1" t="s">
        <v>18</v>
      </c>
      <c r="C129" t="s">
        <v>12</v>
      </c>
      <c r="D129">
        <v>2020</v>
      </c>
      <c r="E129" s="3">
        <v>58843980</v>
      </c>
      <c r="F129" s="3">
        <v>276000000</v>
      </c>
      <c r="G129">
        <v>23</v>
      </c>
      <c r="H129">
        <v>35</v>
      </c>
      <c r="I129" s="7">
        <f t="shared" si="2"/>
        <v>0.39655172413793105</v>
      </c>
      <c r="J129" s="7">
        <f t="shared" si="3"/>
        <v>0.39086411218275852</v>
      </c>
    </row>
    <row r="130" spans="1:10">
      <c r="A130" t="s">
        <v>21</v>
      </c>
      <c r="B130" s="1" t="s">
        <v>18</v>
      </c>
      <c r="C130" t="s">
        <v>12</v>
      </c>
      <c r="D130">
        <v>2020</v>
      </c>
      <c r="E130" s="3">
        <v>51168364</v>
      </c>
      <c r="F130" s="3">
        <v>251000000</v>
      </c>
      <c r="G130">
        <v>26</v>
      </c>
      <c r="H130">
        <v>34</v>
      </c>
      <c r="I130" s="7">
        <f t="shared" si="2"/>
        <v>0.43333333333333335</v>
      </c>
      <c r="J130" s="7">
        <f t="shared" si="3"/>
        <v>0.50812646658001415</v>
      </c>
    </row>
    <row r="131" spans="1:10">
      <c r="A131" t="s">
        <v>22</v>
      </c>
      <c r="B131" s="1" t="s">
        <v>18</v>
      </c>
      <c r="C131" t="s">
        <v>12</v>
      </c>
      <c r="D131">
        <v>2020</v>
      </c>
      <c r="E131" s="3">
        <v>62995710</v>
      </c>
      <c r="F131" s="3">
        <v>297000000</v>
      </c>
      <c r="G131">
        <v>36</v>
      </c>
      <c r="H131">
        <v>24</v>
      </c>
      <c r="I131" s="7">
        <f t="shared" ref="I131:I194" si="4">G131/(G131+H131)</f>
        <v>0.6</v>
      </c>
      <c r="J131" s="7">
        <f t="shared" ref="J131:J194" si="5">G131/(E131/1000000)</f>
        <v>0.57146748564306993</v>
      </c>
    </row>
    <row r="132" spans="1:10">
      <c r="A132" t="s">
        <v>23</v>
      </c>
      <c r="B132" t="s">
        <v>24</v>
      </c>
      <c r="C132" t="s">
        <v>12</v>
      </c>
      <c r="D132">
        <v>2020</v>
      </c>
      <c r="E132" s="3">
        <v>94309125</v>
      </c>
      <c r="F132" s="3">
        <v>420000000</v>
      </c>
      <c r="G132">
        <v>29</v>
      </c>
      <c r="H132">
        <v>31</v>
      </c>
      <c r="I132" s="7">
        <f t="shared" si="4"/>
        <v>0.48333333333333334</v>
      </c>
      <c r="J132" s="7">
        <f t="shared" si="5"/>
        <v>0.30749940687075616</v>
      </c>
    </row>
    <row r="133" spans="1:10">
      <c r="A133" t="s">
        <v>25</v>
      </c>
      <c r="B133" s="1" t="s">
        <v>24</v>
      </c>
      <c r="C133" t="s">
        <v>12</v>
      </c>
      <c r="D133">
        <v>2020</v>
      </c>
      <c r="E133" s="3">
        <v>63251755</v>
      </c>
      <c r="F133" s="3">
        <v>377000000</v>
      </c>
      <c r="G133">
        <v>26</v>
      </c>
      <c r="H133">
        <v>34</v>
      </c>
      <c r="I133" s="7">
        <f t="shared" si="4"/>
        <v>0.43333333333333335</v>
      </c>
      <c r="J133" s="7">
        <f t="shared" si="5"/>
        <v>0.41105578809631449</v>
      </c>
    </row>
    <row r="134" spans="1:10">
      <c r="A134" t="s">
        <v>26</v>
      </c>
      <c r="B134" s="1" t="s">
        <v>24</v>
      </c>
      <c r="C134" t="s">
        <v>12</v>
      </c>
      <c r="D134">
        <v>2020</v>
      </c>
      <c r="E134" s="3">
        <v>44651744</v>
      </c>
      <c r="F134" s="3">
        <v>225000000</v>
      </c>
      <c r="G134">
        <v>36</v>
      </c>
      <c r="H134">
        <v>24</v>
      </c>
      <c r="I134" s="7">
        <f t="shared" si="4"/>
        <v>0.6</v>
      </c>
      <c r="J134" s="7">
        <f t="shared" si="5"/>
        <v>0.80623950544910405</v>
      </c>
    </row>
    <row r="135" spans="1:10">
      <c r="A135" t="s">
        <v>27</v>
      </c>
      <c r="B135" s="1" t="s">
        <v>24</v>
      </c>
      <c r="C135" t="s">
        <v>12</v>
      </c>
      <c r="D135">
        <v>2020</v>
      </c>
      <c r="E135" s="3">
        <v>62163969</v>
      </c>
      <c r="F135" s="3">
        <v>315000000</v>
      </c>
      <c r="G135">
        <v>27</v>
      </c>
      <c r="H135">
        <v>33</v>
      </c>
      <c r="I135" s="7">
        <f t="shared" si="4"/>
        <v>0.45</v>
      </c>
      <c r="J135" s="7">
        <f t="shared" si="5"/>
        <v>0.43433520147338084</v>
      </c>
    </row>
    <row r="136" spans="1:10">
      <c r="A136" t="s">
        <v>28</v>
      </c>
      <c r="B136" s="1" t="s">
        <v>24</v>
      </c>
      <c r="C136" t="s">
        <v>12</v>
      </c>
      <c r="D136">
        <v>2020</v>
      </c>
      <c r="E136" s="3">
        <v>73568071</v>
      </c>
      <c r="F136" s="3">
        <v>335000000</v>
      </c>
      <c r="G136">
        <v>22</v>
      </c>
      <c r="H136">
        <v>38</v>
      </c>
      <c r="I136" s="7">
        <f t="shared" si="4"/>
        <v>0.36666666666666664</v>
      </c>
      <c r="J136" s="7">
        <f t="shared" si="5"/>
        <v>0.29904277359671427</v>
      </c>
    </row>
    <row r="137" spans="1:10">
      <c r="A137" t="s">
        <v>29</v>
      </c>
      <c r="B137" t="s">
        <v>30</v>
      </c>
      <c r="C137" t="s">
        <v>31</v>
      </c>
      <c r="D137">
        <v>2020</v>
      </c>
      <c r="E137" s="3">
        <v>62331235</v>
      </c>
      <c r="F137" s="3">
        <v>382000000</v>
      </c>
      <c r="G137">
        <v>35</v>
      </c>
      <c r="H137">
        <v>25</v>
      </c>
      <c r="I137" s="7">
        <f t="shared" si="4"/>
        <v>0.58333333333333337</v>
      </c>
      <c r="J137" s="7">
        <f t="shared" si="5"/>
        <v>0.56151622858106376</v>
      </c>
    </row>
    <row r="138" spans="1:10">
      <c r="A138" t="s">
        <v>32</v>
      </c>
      <c r="B138" s="1" t="s">
        <v>30</v>
      </c>
      <c r="C138" t="s">
        <v>31</v>
      </c>
      <c r="D138">
        <v>2020</v>
      </c>
      <c r="E138" s="3">
        <v>60090456</v>
      </c>
      <c r="F138" s="3">
        <v>222000000</v>
      </c>
      <c r="G138">
        <v>31</v>
      </c>
      <c r="H138">
        <v>29</v>
      </c>
      <c r="I138" s="7">
        <f t="shared" si="4"/>
        <v>0.51666666666666672</v>
      </c>
      <c r="J138" s="7">
        <f t="shared" si="5"/>
        <v>0.51588891254211811</v>
      </c>
    </row>
    <row r="139" spans="1:10">
      <c r="A139" t="s">
        <v>33</v>
      </c>
      <c r="B139" s="1" t="s">
        <v>30</v>
      </c>
      <c r="C139" t="s">
        <v>31</v>
      </c>
      <c r="D139">
        <v>2020</v>
      </c>
      <c r="E139" s="3">
        <v>91484580</v>
      </c>
      <c r="F139" s="3">
        <v>362000000</v>
      </c>
      <c r="G139">
        <v>26</v>
      </c>
      <c r="H139">
        <v>34</v>
      </c>
      <c r="I139" s="7">
        <f t="shared" si="4"/>
        <v>0.43333333333333335</v>
      </c>
      <c r="J139" s="7">
        <f t="shared" si="5"/>
        <v>0.28420090030472894</v>
      </c>
    </row>
    <row r="140" spans="1:10">
      <c r="A140" t="s">
        <v>34</v>
      </c>
      <c r="B140" s="1" t="s">
        <v>30</v>
      </c>
      <c r="C140" t="s">
        <v>31</v>
      </c>
      <c r="D140">
        <v>2020</v>
      </c>
      <c r="E140" s="3">
        <v>73479689</v>
      </c>
      <c r="F140" s="3">
        <v>392000000</v>
      </c>
      <c r="G140">
        <v>28</v>
      </c>
      <c r="H140">
        <v>32</v>
      </c>
      <c r="I140" s="7">
        <f t="shared" si="4"/>
        <v>0.46666666666666667</v>
      </c>
      <c r="J140" s="7">
        <f t="shared" si="5"/>
        <v>0.38105768248420324</v>
      </c>
    </row>
    <row r="141" spans="1:10">
      <c r="A141" t="s">
        <v>35</v>
      </c>
      <c r="B141" s="1" t="s">
        <v>30</v>
      </c>
      <c r="C141" t="s">
        <v>31</v>
      </c>
      <c r="D141">
        <v>2020</v>
      </c>
      <c r="E141" s="3">
        <v>90092926</v>
      </c>
      <c r="F141" s="3">
        <v>370000000</v>
      </c>
      <c r="G141">
        <v>26</v>
      </c>
      <c r="H141">
        <v>34</v>
      </c>
      <c r="I141" s="7">
        <f t="shared" si="4"/>
        <v>0.43333333333333335</v>
      </c>
      <c r="J141" s="7">
        <f t="shared" si="5"/>
        <v>0.28859091556200539</v>
      </c>
    </row>
    <row r="142" spans="1:10">
      <c r="A142" t="s">
        <v>36</v>
      </c>
      <c r="B142" t="s">
        <v>37</v>
      </c>
      <c r="C142" t="s">
        <v>31</v>
      </c>
      <c r="D142">
        <v>2020</v>
      </c>
      <c r="E142" s="3">
        <v>103749936</v>
      </c>
      <c r="F142" s="3">
        <v>471000000</v>
      </c>
      <c r="G142">
        <v>34</v>
      </c>
      <c r="H142">
        <v>26</v>
      </c>
      <c r="I142" s="7">
        <f t="shared" si="4"/>
        <v>0.56666666666666665</v>
      </c>
      <c r="J142" s="7">
        <f t="shared" si="5"/>
        <v>0.32771104552777747</v>
      </c>
    </row>
    <row r="143" spans="1:10">
      <c r="A143" t="s">
        <v>38</v>
      </c>
      <c r="B143" s="1" t="s">
        <v>37</v>
      </c>
      <c r="C143" t="s">
        <v>31</v>
      </c>
      <c r="D143">
        <v>2020</v>
      </c>
      <c r="E143" s="3">
        <v>69199033</v>
      </c>
      <c r="F143" s="3">
        <v>276000000</v>
      </c>
      <c r="G143">
        <v>31</v>
      </c>
      <c r="H143">
        <v>29</v>
      </c>
      <c r="I143" s="7">
        <f t="shared" si="4"/>
        <v>0.51666666666666672</v>
      </c>
      <c r="J143" s="7">
        <f t="shared" si="5"/>
        <v>0.44798313872391832</v>
      </c>
    </row>
    <row r="144" spans="1:10">
      <c r="A144" t="s">
        <v>39</v>
      </c>
      <c r="B144" s="1" t="s">
        <v>37</v>
      </c>
      <c r="C144" t="s">
        <v>31</v>
      </c>
      <c r="D144">
        <v>2020</v>
      </c>
      <c r="E144" s="3">
        <v>46908771</v>
      </c>
      <c r="F144" s="3">
        <v>295000000</v>
      </c>
      <c r="G144">
        <v>29</v>
      </c>
      <c r="H144">
        <v>31</v>
      </c>
      <c r="I144" s="7">
        <f t="shared" si="4"/>
        <v>0.48333333333333334</v>
      </c>
      <c r="J144" s="7">
        <f t="shared" si="5"/>
        <v>0.61822127038885755</v>
      </c>
    </row>
    <row r="145" spans="1:10">
      <c r="A145" t="s">
        <v>40</v>
      </c>
      <c r="B145" s="1" t="s">
        <v>37</v>
      </c>
      <c r="C145" t="s">
        <v>31</v>
      </c>
      <c r="D145">
        <v>2020</v>
      </c>
      <c r="E145" s="3">
        <v>33951528</v>
      </c>
      <c r="F145" s="3">
        <v>273000000</v>
      </c>
      <c r="G145">
        <v>19</v>
      </c>
      <c r="H145">
        <v>41</v>
      </c>
      <c r="I145" s="7">
        <f t="shared" si="4"/>
        <v>0.31666666666666665</v>
      </c>
      <c r="J145" s="7">
        <f t="shared" si="5"/>
        <v>0.55962135194622165</v>
      </c>
    </row>
    <row r="146" spans="1:10">
      <c r="A146" t="s">
        <v>41</v>
      </c>
      <c r="B146" s="1" t="s">
        <v>37</v>
      </c>
      <c r="C146" t="s">
        <v>31</v>
      </c>
      <c r="D146">
        <v>2020</v>
      </c>
      <c r="E146" s="3">
        <v>78482305</v>
      </c>
      <c r="F146" s="3">
        <v>383000000</v>
      </c>
      <c r="G146">
        <v>30</v>
      </c>
      <c r="H146">
        <v>28</v>
      </c>
      <c r="I146" s="7">
        <f t="shared" si="4"/>
        <v>0.51724137931034486</v>
      </c>
      <c r="J146" s="7">
        <f t="shared" si="5"/>
        <v>0.38225177000089383</v>
      </c>
    </row>
    <row r="147" spans="1:10">
      <c r="A147" t="s">
        <v>42</v>
      </c>
      <c r="B147" t="s">
        <v>43</v>
      </c>
      <c r="C147" t="s">
        <v>31</v>
      </c>
      <c r="D147">
        <v>2020</v>
      </c>
      <c r="E147" s="3">
        <v>65124631</v>
      </c>
      <c r="F147" s="3">
        <v>278000000</v>
      </c>
      <c r="G147">
        <v>25</v>
      </c>
      <c r="H147">
        <v>35</v>
      </c>
      <c r="I147" s="7">
        <f t="shared" si="4"/>
        <v>0.41666666666666669</v>
      </c>
      <c r="J147" s="7">
        <f t="shared" si="5"/>
        <v>0.38387933437964511</v>
      </c>
    </row>
    <row r="148" spans="1:10">
      <c r="A148" t="s">
        <v>44</v>
      </c>
      <c r="B148" t="s">
        <v>43</v>
      </c>
      <c r="C148" t="s">
        <v>31</v>
      </c>
      <c r="D148">
        <v>2020</v>
      </c>
      <c r="E148" s="3">
        <v>83625753</v>
      </c>
      <c r="F148" s="3">
        <v>305000000</v>
      </c>
      <c r="G148">
        <v>26</v>
      </c>
      <c r="H148">
        <v>34</v>
      </c>
      <c r="I148" s="7">
        <f t="shared" si="4"/>
        <v>0.43333333333333335</v>
      </c>
      <c r="J148" s="7">
        <f t="shared" si="5"/>
        <v>0.31090900909436353</v>
      </c>
    </row>
    <row r="149" spans="1:10">
      <c r="A149" t="s">
        <v>45</v>
      </c>
      <c r="B149" t="s">
        <v>43</v>
      </c>
      <c r="C149" t="s">
        <v>31</v>
      </c>
      <c r="D149">
        <v>2020</v>
      </c>
      <c r="E149" s="3">
        <v>124432325</v>
      </c>
      <c r="F149" s="3">
        <v>556000000</v>
      </c>
      <c r="G149">
        <v>43</v>
      </c>
      <c r="H149">
        <v>17</v>
      </c>
      <c r="I149" s="7">
        <f t="shared" si="4"/>
        <v>0.71666666666666667</v>
      </c>
      <c r="J149" s="7">
        <f t="shared" si="5"/>
        <v>0.34556936873115568</v>
      </c>
    </row>
    <row r="150" spans="1:10">
      <c r="A150" t="s">
        <v>46</v>
      </c>
      <c r="B150" t="s">
        <v>43</v>
      </c>
      <c r="C150" t="s">
        <v>31</v>
      </c>
      <c r="D150">
        <v>2020</v>
      </c>
      <c r="E150" s="3">
        <v>79557389</v>
      </c>
      <c r="F150" s="3">
        <v>299000000</v>
      </c>
      <c r="G150">
        <v>37</v>
      </c>
      <c r="H150">
        <v>23</v>
      </c>
      <c r="I150" s="7">
        <f t="shared" si="4"/>
        <v>0.6166666666666667</v>
      </c>
      <c r="J150" s="7">
        <f t="shared" si="5"/>
        <v>0.46507308076689141</v>
      </c>
    </row>
    <row r="151" spans="1:10">
      <c r="A151" t="s">
        <v>47</v>
      </c>
      <c r="B151" t="s">
        <v>43</v>
      </c>
      <c r="C151" t="s">
        <v>31</v>
      </c>
      <c r="D151">
        <v>2020</v>
      </c>
      <c r="E151" s="3">
        <v>74886265</v>
      </c>
      <c r="F151" s="3">
        <v>452000000</v>
      </c>
      <c r="G151">
        <v>29</v>
      </c>
      <c r="H151">
        <v>31</v>
      </c>
      <c r="I151" s="7">
        <f t="shared" si="4"/>
        <v>0.48333333333333334</v>
      </c>
      <c r="J151" s="7">
        <f t="shared" si="5"/>
        <v>0.38725392433445577</v>
      </c>
    </row>
    <row r="152" spans="1:10">
      <c r="A152" t="s">
        <v>10</v>
      </c>
      <c r="B152" t="s">
        <v>11</v>
      </c>
      <c r="C152" t="s">
        <v>12</v>
      </c>
      <c r="D152">
        <v>2021</v>
      </c>
      <c r="E152" s="3">
        <v>64117070</v>
      </c>
      <c r="F152" s="3">
        <v>115000000</v>
      </c>
      <c r="G152">
        <v>52</v>
      </c>
      <c r="H152">
        <v>110</v>
      </c>
      <c r="I152" s="7">
        <f t="shared" si="4"/>
        <v>0.32098765432098764</v>
      </c>
      <c r="J152" s="7">
        <f t="shared" si="5"/>
        <v>0.81101647346018779</v>
      </c>
    </row>
    <row r="153" spans="1:10">
      <c r="A153" t="s">
        <v>13</v>
      </c>
      <c r="B153" t="s">
        <v>11</v>
      </c>
      <c r="C153" t="s">
        <v>12</v>
      </c>
      <c r="D153">
        <v>2021</v>
      </c>
      <c r="E153" s="3">
        <v>207947136</v>
      </c>
      <c r="F153" s="3">
        <v>152000000</v>
      </c>
      <c r="G153">
        <v>92</v>
      </c>
      <c r="H153">
        <v>70</v>
      </c>
      <c r="I153" s="7">
        <f t="shared" si="4"/>
        <v>0.5679012345679012</v>
      </c>
      <c r="J153" s="7">
        <f t="shared" si="5"/>
        <v>0.44242013508664046</v>
      </c>
    </row>
    <row r="154" spans="1:10">
      <c r="A154" t="s">
        <v>14</v>
      </c>
      <c r="B154" s="1" t="s">
        <v>11</v>
      </c>
      <c r="C154" t="s">
        <v>12</v>
      </c>
      <c r="D154">
        <v>2021</v>
      </c>
      <c r="E154" s="3">
        <v>243378593</v>
      </c>
      <c r="F154" s="3">
        <v>108000000</v>
      </c>
      <c r="G154">
        <v>92</v>
      </c>
      <c r="H154">
        <v>70</v>
      </c>
      <c r="I154" s="7">
        <f t="shared" si="4"/>
        <v>0.5679012345679012</v>
      </c>
      <c r="J154" s="7">
        <f t="shared" si="5"/>
        <v>0.37801188208857794</v>
      </c>
    </row>
    <row r="155" spans="1:10">
      <c r="A155" t="s">
        <v>15</v>
      </c>
      <c r="B155" s="1" t="s">
        <v>11</v>
      </c>
      <c r="C155" t="s">
        <v>12</v>
      </c>
      <c r="D155">
        <v>2021</v>
      </c>
      <c r="E155" s="3">
        <v>84874461</v>
      </c>
      <c r="F155" s="3">
        <v>112000000</v>
      </c>
      <c r="G155">
        <v>100</v>
      </c>
      <c r="H155">
        <v>62</v>
      </c>
      <c r="I155" s="7">
        <f t="shared" si="4"/>
        <v>0.61728395061728392</v>
      </c>
      <c r="J155" s="7">
        <f t="shared" si="5"/>
        <v>1.1782107223043219</v>
      </c>
    </row>
    <row r="156" spans="1:10">
      <c r="A156" t="s">
        <v>16</v>
      </c>
      <c r="B156" s="1" t="s">
        <v>11</v>
      </c>
      <c r="C156" t="s">
        <v>12</v>
      </c>
      <c r="D156">
        <v>2021</v>
      </c>
      <c r="E156" s="3">
        <v>175037222</v>
      </c>
      <c r="F156" s="3">
        <v>116000000</v>
      </c>
      <c r="G156">
        <v>91</v>
      </c>
      <c r="H156">
        <v>71</v>
      </c>
      <c r="I156" s="7">
        <f t="shared" si="4"/>
        <v>0.56172839506172845</v>
      </c>
      <c r="J156" s="7">
        <f t="shared" si="5"/>
        <v>0.51988942100555047</v>
      </c>
    </row>
    <row r="157" spans="1:10">
      <c r="A157" t="s">
        <v>17</v>
      </c>
      <c r="B157" t="s">
        <v>18</v>
      </c>
      <c r="C157" t="s">
        <v>12</v>
      </c>
      <c r="D157">
        <v>2021</v>
      </c>
      <c r="E157" s="3">
        <v>153278263</v>
      </c>
      <c r="F157" s="3">
        <v>124000000</v>
      </c>
      <c r="G157">
        <v>93</v>
      </c>
      <c r="H157">
        <v>69</v>
      </c>
      <c r="I157" s="7">
        <f t="shared" si="4"/>
        <v>0.57407407407407407</v>
      </c>
      <c r="J157" s="7">
        <f t="shared" si="5"/>
        <v>0.60673965231456206</v>
      </c>
    </row>
    <row r="158" spans="1:10">
      <c r="A158" t="s">
        <v>19</v>
      </c>
      <c r="B158" s="1" t="s">
        <v>18</v>
      </c>
      <c r="C158" t="s">
        <v>12</v>
      </c>
      <c r="D158">
        <v>2021</v>
      </c>
      <c r="E158" s="3">
        <v>64311817</v>
      </c>
      <c r="F158" s="3">
        <v>117000000</v>
      </c>
      <c r="G158">
        <v>80</v>
      </c>
      <c r="H158">
        <v>82</v>
      </c>
      <c r="I158" s="7">
        <f t="shared" si="4"/>
        <v>0.49382716049382713</v>
      </c>
      <c r="J158" s="7">
        <f t="shared" si="5"/>
        <v>1.2439393525454272</v>
      </c>
    </row>
    <row r="159" spans="1:10">
      <c r="A159" t="s">
        <v>20</v>
      </c>
      <c r="B159" s="1" t="s">
        <v>18</v>
      </c>
      <c r="C159" t="s">
        <v>12</v>
      </c>
      <c r="D159">
        <v>2021</v>
      </c>
      <c r="E159" s="3">
        <v>109944323</v>
      </c>
      <c r="F159" s="3">
        <v>111000000</v>
      </c>
      <c r="G159">
        <v>77</v>
      </c>
      <c r="H159">
        <v>85</v>
      </c>
      <c r="I159" s="7">
        <f t="shared" si="4"/>
        <v>0.47530864197530864</v>
      </c>
      <c r="J159" s="7">
        <f t="shared" si="5"/>
        <v>0.70035448760733199</v>
      </c>
    </row>
    <row r="160" spans="1:10">
      <c r="A160" t="s">
        <v>21</v>
      </c>
      <c r="B160" s="1" t="s">
        <v>18</v>
      </c>
      <c r="C160" t="s">
        <v>12</v>
      </c>
      <c r="D160">
        <v>2021</v>
      </c>
      <c r="E160" s="3">
        <v>105894532</v>
      </c>
      <c r="F160" s="3">
        <v>109000000</v>
      </c>
      <c r="G160">
        <v>74</v>
      </c>
      <c r="H160">
        <v>88</v>
      </c>
      <c r="I160" s="7">
        <f t="shared" si="4"/>
        <v>0.4567901234567901</v>
      </c>
      <c r="J160" s="7">
        <f t="shared" si="5"/>
        <v>0.69880850882838785</v>
      </c>
    </row>
    <row r="161" spans="1:10">
      <c r="A161" t="s">
        <v>22</v>
      </c>
      <c r="B161" s="1" t="s">
        <v>18</v>
      </c>
      <c r="C161" t="s">
        <v>12</v>
      </c>
      <c r="D161">
        <v>2021</v>
      </c>
      <c r="E161" s="3">
        <v>136474029</v>
      </c>
      <c r="F161" s="3">
        <v>111000000</v>
      </c>
      <c r="G161">
        <v>73</v>
      </c>
      <c r="H161">
        <v>89</v>
      </c>
      <c r="I161" s="7">
        <f t="shared" si="4"/>
        <v>0.45061728395061729</v>
      </c>
      <c r="J161" s="7">
        <f t="shared" si="5"/>
        <v>0.53490030692945978</v>
      </c>
    </row>
    <row r="162" spans="1:10">
      <c r="A162" t="s">
        <v>23</v>
      </c>
      <c r="B162" t="s">
        <v>24</v>
      </c>
      <c r="C162" t="s">
        <v>12</v>
      </c>
      <c r="D162">
        <v>2021</v>
      </c>
      <c r="E162" s="3">
        <v>186940042</v>
      </c>
      <c r="F162" s="3">
        <v>126000000</v>
      </c>
      <c r="G162">
        <v>95</v>
      </c>
      <c r="H162">
        <v>67</v>
      </c>
      <c r="I162" s="7">
        <f t="shared" si="4"/>
        <v>0.5864197530864198</v>
      </c>
      <c r="J162" s="7">
        <f t="shared" si="5"/>
        <v>0.50818433003240682</v>
      </c>
    </row>
    <row r="163" spans="1:10">
      <c r="A163" t="s">
        <v>25</v>
      </c>
      <c r="B163" s="1" t="s">
        <v>24</v>
      </c>
      <c r="C163" t="s">
        <v>12</v>
      </c>
      <c r="D163">
        <v>2021</v>
      </c>
      <c r="E163" s="3">
        <v>196428336</v>
      </c>
      <c r="F163" s="3">
        <v>141000000</v>
      </c>
      <c r="G163">
        <v>77</v>
      </c>
      <c r="H163">
        <v>85</v>
      </c>
      <c r="I163" s="7">
        <f t="shared" si="4"/>
        <v>0.47530864197530864</v>
      </c>
      <c r="J163" s="7">
        <f t="shared" si="5"/>
        <v>0.39200046983038128</v>
      </c>
    </row>
    <row r="164" spans="1:10">
      <c r="A164" t="s">
        <v>26</v>
      </c>
      <c r="B164" s="1" t="s">
        <v>24</v>
      </c>
      <c r="C164" t="s">
        <v>12</v>
      </c>
      <c r="D164">
        <v>2021</v>
      </c>
      <c r="E164" s="3">
        <v>93664085</v>
      </c>
      <c r="F164" s="3">
        <v>104000000</v>
      </c>
      <c r="G164">
        <v>86</v>
      </c>
      <c r="H164">
        <v>76</v>
      </c>
      <c r="I164" s="7">
        <f t="shared" si="4"/>
        <v>0.53086419753086422</v>
      </c>
      <c r="J164" s="7">
        <f t="shared" si="5"/>
        <v>0.91817477318013618</v>
      </c>
    </row>
    <row r="165" spans="1:10">
      <c r="A165" t="s">
        <v>27</v>
      </c>
      <c r="B165" s="1" t="s">
        <v>24</v>
      </c>
      <c r="C165" t="s">
        <v>12</v>
      </c>
      <c r="D165">
        <v>2021</v>
      </c>
      <c r="E165" s="3">
        <v>94412590</v>
      </c>
      <c r="F165" s="3">
        <v>129000000</v>
      </c>
      <c r="G165">
        <v>90</v>
      </c>
      <c r="H165">
        <v>72</v>
      </c>
      <c r="I165" s="7">
        <f t="shared" si="4"/>
        <v>0.55555555555555558</v>
      </c>
      <c r="J165" s="7">
        <f t="shared" si="5"/>
        <v>0.95326269515538131</v>
      </c>
    </row>
    <row r="166" spans="1:10">
      <c r="A166" t="s">
        <v>28</v>
      </c>
      <c r="B166" s="1" t="s">
        <v>24</v>
      </c>
      <c r="C166" t="s">
        <v>12</v>
      </c>
      <c r="D166">
        <v>2021</v>
      </c>
      <c r="E166" s="3">
        <v>114020578</v>
      </c>
      <c r="F166" s="3">
        <v>111000000</v>
      </c>
      <c r="G166">
        <v>60</v>
      </c>
      <c r="H166">
        <v>102</v>
      </c>
      <c r="I166" s="7">
        <f t="shared" si="4"/>
        <v>0.37037037037037035</v>
      </c>
      <c r="J166" s="7">
        <f t="shared" si="5"/>
        <v>0.52622080200295074</v>
      </c>
    </row>
    <row r="167" spans="1:10">
      <c r="A167" t="s">
        <v>29</v>
      </c>
      <c r="B167" t="s">
        <v>30</v>
      </c>
      <c r="C167" t="s">
        <v>31</v>
      </c>
      <c r="D167">
        <v>2021</v>
      </c>
      <c r="E167" s="3">
        <v>165565236</v>
      </c>
      <c r="F167" s="3">
        <v>132000000</v>
      </c>
      <c r="G167">
        <v>88</v>
      </c>
      <c r="H167">
        <v>73</v>
      </c>
      <c r="I167" s="7">
        <f t="shared" si="4"/>
        <v>0.54658385093167705</v>
      </c>
      <c r="J167" s="7">
        <f t="shared" si="5"/>
        <v>0.53151254530268666</v>
      </c>
    </row>
    <row r="168" spans="1:10">
      <c r="A168" t="s">
        <v>32</v>
      </c>
      <c r="B168" s="1" t="s">
        <v>30</v>
      </c>
      <c r="C168" t="s">
        <v>31</v>
      </c>
      <c r="D168">
        <v>2021</v>
      </c>
      <c r="E168" s="3">
        <v>75691084</v>
      </c>
      <c r="F168" s="3">
        <v>96000000</v>
      </c>
      <c r="G168">
        <v>67</v>
      </c>
      <c r="H168">
        <v>95</v>
      </c>
      <c r="I168" s="7">
        <f t="shared" si="4"/>
        <v>0.41358024691358025</v>
      </c>
      <c r="J168" s="7">
        <f t="shared" si="5"/>
        <v>0.88517691198609327</v>
      </c>
    </row>
    <row r="169" spans="1:10">
      <c r="A169" t="s">
        <v>33</v>
      </c>
      <c r="B169" s="1" t="s">
        <v>30</v>
      </c>
      <c r="C169" t="s">
        <v>31</v>
      </c>
      <c r="D169">
        <v>2021</v>
      </c>
      <c r="E169" s="3">
        <v>202059169</v>
      </c>
      <c r="F169" s="3">
        <v>107000000</v>
      </c>
      <c r="G169">
        <v>77</v>
      </c>
      <c r="H169">
        <v>85</v>
      </c>
      <c r="I169" s="7">
        <f t="shared" si="4"/>
        <v>0.47530864197530864</v>
      </c>
      <c r="J169" s="7">
        <f t="shared" si="5"/>
        <v>0.38107649546950279</v>
      </c>
    </row>
    <row r="170" spans="1:10">
      <c r="A170" t="s">
        <v>34</v>
      </c>
      <c r="B170" s="1" t="s">
        <v>30</v>
      </c>
      <c r="C170" t="s">
        <v>31</v>
      </c>
      <c r="D170">
        <v>2021</v>
      </c>
      <c r="E170" s="3">
        <v>190811162</v>
      </c>
      <c r="F170" s="3">
        <v>140000000</v>
      </c>
      <c r="G170">
        <v>82</v>
      </c>
      <c r="H170">
        <v>80</v>
      </c>
      <c r="I170" s="7">
        <f t="shared" si="4"/>
        <v>0.50617283950617287</v>
      </c>
      <c r="J170" s="7">
        <f t="shared" si="5"/>
        <v>0.42974425154436197</v>
      </c>
    </row>
    <row r="171" spans="1:10">
      <c r="A171" t="s">
        <v>35</v>
      </c>
      <c r="B171" s="1" t="s">
        <v>30</v>
      </c>
      <c r="C171" t="s">
        <v>31</v>
      </c>
      <c r="D171">
        <v>2021</v>
      </c>
      <c r="E171" s="3">
        <v>171001673</v>
      </c>
      <c r="F171" s="3">
        <v>119000000</v>
      </c>
      <c r="G171">
        <v>65</v>
      </c>
      <c r="H171">
        <v>97</v>
      </c>
      <c r="I171" s="7">
        <f t="shared" si="4"/>
        <v>0.40123456790123457</v>
      </c>
      <c r="J171" s="7">
        <f t="shared" si="5"/>
        <v>0.38011324017865017</v>
      </c>
    </row>
    <row r="172" spans="1:10">
      <c r="A172" t="s">
        <v>36</v>
      </c>
      <c r="B172" t="s">
        <v>37</v>
      </c>
      <c r="C172" t="s">
        <v>31</v>
      </c>
      <c r="D172">
        <v>2021</v>
      </c>
      <c r="E172" s="3">
        <v>153753537</v>
      </c>
      <c r="F172" s="3">
        <v>163000000</v>
      </c>
      <c r="G172">
        <v>71</v>
      </c>
      <c r="H172">
        <v>91</v>
      </c>
      <c r="I172" s="7">
        <f t="shared" si="4"/>
        <v>0.43827160493827161</v>
      </c>
      <c r="J172" s="7">
        <f t="shared" si="5"/>
        <v>0.46177799473972431</v>
      </c>
    </row>
    <row r="173" spans="1:10">
      <c r="A173" t="s">
        <v>38</v>
      </c>
      <c r="B173" s="1" t="s">
        <v>37</v>
      </c>
      <c r="C173" t="s">
        <v>31</v>
      </c>
      <c r="D173">
        <v>2021</v>
      </c>
      <c r="E173" s="3">
        <v>151241607</v>
      </c>
      <c r="F173" s="3">
        <v>114000000</v>
      </c>
      <c r="G173">
        <v>83</v>
      </c>
      <c r="H173">
        <v>79</v>
      </c>
      <c r="I173" s="7">
        <f t="shared" si="4"/>
        <v>0.51234567901234573</v>
      </c>
      <c r="J173" s="7">
        <f t="shared" si="5"/>
        <v>0.54879078347798838</v>
      </c>
    </row>
    <row r="174" spans="1:10">
      <c r="A174" t="s">
        <v>39</v>
      </c>
      <c r="B174" s="1" t="s">
        <v>37</v>
      </c>
      <c r="C174" t="s">
        <v>31</v>
      </c>
      <c r="D174">
        <v>2021</v>
      </c>
      <c r="E174" s="3">
        <v>116839851</v>
      </c>
      <c r="F174" s="3">
        <v>104000000</v>
      </c>
      <c r="G174">
        <v>95</v>
      </c>
      <c r="H174">
        <v>67</v>
      </c>
      <c r="I174" s="7">
        <f t="shared" si="4"/>
        <v>0.5864197530864198</v>
      </c>
      <c r="J174" s="7">
        <f t="shared" si="5"/>
        <v>0.81307874998916252</v>
      </c>
    </row>
    <row r="175" spans="1:10">
      <c r="A175" t="s">
        <v>40</v>
      </c>
      <c r="B175" s="1" t="s">
        <v>37</v>
      </c>
      <c r="C175" t="s">
        <v>31</v>
      </c>
      <c r="D175">
        <v>2021</v>
      </c>
      <c r="E175" s="3">
        <v>67549486</v>
      </c>
      <c r="F175" s="3">
        <v>116000000</v>
      </c>
      <c r="G175">
        <v>61</v>
      </c>
      <c r="H175">
        <v>101</v>
      </c>
      <c r="I175" s="7">
        <f t="shared" si="4"/>
        <v>0.37654320987654322</v>
      </c>
      <c r="J175" s="7">
        <f t="shared" si="5"/>
        <v>0.90304166045023637</v>
      </c>
    </row>
    <row r="176" spans="1:10">
      <c r="A176" t="s">
        <v>41</v>
      </c>
      <c r="B176" s="1" t="s">
        <v>37</v>
      </c>
      <c r="C176" t="s">
        <v>31</v>
      </c>
      <c r="D176">
        <v>2021</v>
      </c>
      <c r="E176" s="3">
        <v>164500328</v>
      </c>
      <c r="F176" s="3">
        <v>109000000</v>
      </c>
      <c r="G176">
        <v>90</v>
      </c>
      <c r="H176">
        <v>72</v>
      </c>
      <c r="I176" s="7">
        <f t="shared" si="4"/>
        <v>0.55555555555555558</v>
      </c>
      <c r="J176" s="7">
        <f t="shared" si="5"/>
        <v>0.5471113711092418</v>
      </c>
    </row>
    <row r="177" spans="1:10">
      <c r="A177" t="s">
        <v>42</v>
      </c>
      <c r="B177" t="s">
        <v>43</v>
      </c>
      <c r="C177" t="s">
        <v>31</v>
      </c>
      <c r="D177">
        <v>2021</v>
      </c>
      <c r="E177" s="3">
        <v>105079998</v>
      </c>
      <c r="F177" s="3">
        <v>118000000</v>
      </c>
      <c r="G177">
        <v>52</v>
      </c>
      <c r="H177">
        <v>110</v>
      </c>
      <c r="I177" s="7">
        <f t="shared" si="4"/>
        <v>0.32098765432098764</v>
      </c>
      <c r="J177" s="7">
        <f t="shared" si="5"/>
        <v>0.4948610676600888</v>
      </c>
    </row>
    <row r="178" spans="1:10">
      <c r="A178" t="s">
        <v>44</v>
      </c>
      <c r="B178" t="s">
        <v>43</v>
      </c>
      <c r="C178" t="s">
        <v>31</v>
      </c>
      <c r="D178">
        <v>2021</v>
      </c>
      <c r="E178" s="3">
        <v>111201683</v>
      </c>
      <c r="F178" s="3">
        <v>109000000</v>
      </c>
      <c r="G178">
        <v>74</v>
      </c>
      <c r="H178">
        <v>87</v>
      </c>
      <c r="I178" s="7">
        <f t="shared" si="4"/>
        <v>0.45962732919254656</v>
      </c>
      <c r="J178" s="7">
        <f t="shared" si="5"/>
        <v>0.66545755427100861</v>
      </c>
    </row>
    <row r="179" spans="1:10">
      <c r="A179" t="s">
        <v>45</v>
      </c>
      <c r="B179" t="s">
        <v>43</v>
      </c>
      <c r="C179" t="s">
        <v>31</v>
      </c>
      <c r="D179">
        <v>2021</v>
      </c>
      <c r="E179" s="3">
        <v>274538186</v>
      </c>
      <c r="F179" s="3">
        <v>185000000</v>
      </c>
      <c r="G179">
        <v>106</v>
      </c>
      <c r="H179">
        <v>56</v>
      </c>
      <c r="I179" s="7">
        <f t="shared" si="4"/>
        <v>0.65432098765432101</v>
      </c>
      <c r="J179" s="7">
        <f t="shared" si="5"/>
        <v>0.38610293724312728</v>
      </c>
    </row>
    <row r="180" spans="1:10">
      <c r="A180" t="s">
        <v>46</v>
      </c>
      <c r="B180" t="s">
        <v>43</v>
      </c>
      <c r="C180" t="s">
        <v>31</v>
      </c>
      <c r="D180">
        <v>2021</v>
      </c>
      <c r="E180" s="3">
        <v>202502804</v>
      </c>
      <c r="F180" s="3">
        <v>114000000</v>
      </c>
      <c r="G180">
        <v>79</v>
      </c>
      <c r="H180">
        <v>83</v>
      </c>
      <c r="I180" s="7">
        <f t="shared" si="4"/>
        <v>0.48765432098765432</v>
      </c>
      <c r="J180" s="7">
        <f t="shared" si="5"/>
        <v>0.39011805485913176</v>
      </c>
    </row>
    <row r="181" spans="1:10">
      <c r="A181" t="s">
        <v>47</v>
      </c>
      <c r="B181" t="s">
        <v>43</v>
      </c>
      <c r="C181" t="s">
        <v>31</v>
      </c>
      <c r="D181">
        <v>2021</v>
      </c>
      <c r="E181" s="3">
        <v>182928922</v>
      </c>
      <c r="F181" s="3">
        <v>151000000</v>
      </c>
      <c r="G181">
        <v>107</v>
      </c>
      <c r="H181">
        <v>55</v>
      </c>
      <c r="I181" s="7">
        <f t="shared" si="4"/>
        <v>0.66049382716049387</v>
      </c>
      <c r="J181" s="7">
        <f t="shared" si="5"/>
        <v>0.58492664161657282</v>
      </c>
    </row>
    <row r="182" spans="1:10">
      <c r="A182" t="s">
        <v>10</v>
      </c>
      <c r="B182" t="s">
        <v>11</v>
      </c>
      <c r="C182" t="s">
        <v>12</v>
      </c>
      <c r="D182">
        <v>2022</v>
      </c>
      <c r="E182" s="3">
        <v>77031576</v>
      </c>
      <c r="F182" s="3">
        <v>251000000</v>
      </c>
      <c r="G182">
        <v>83</v>
      </c>
      <c r="H182">
        <v>79</v>
      </c>
      <c r="I182" s="7">
        <f t="shared" si="4"/>
        <v>0.51234567901234573</v>
      </c>
      <c r="J182" s="7">
        <f t="shared" si="5"/>
        <v>1.0774802270694812</v>
      </c>
    </row>
    <row r="183" spans="1:10">
      <c r="A183" t="s">
        <v>13</v>
      </c>
      <c r="B183" t="s">
        <v>11</v>
      </c>
      <c r="C183" t="s">
        <v>12</v>
      </c>
      <c r="D183">
        <v>2022</v>
      </c>
      <c r="E183" s="3">
        <v>214650740</v>
      </c>
      <c r="F183" s="3">
        <v>479000000</v>
      </c>
      <c r="G183">
        <v>78</v>
      </c>
      <c r="H183">
        <v>84</v>
      </c>
      <c r="I183" s="7">
        <f t="shared" si="4"/>
        <v>0.48148148148148145</v>
      </c>
      <c r="J183" s="7">
        <f t="shared" si="5"/>
        <v>0.36338099742866015</v>
      </c>
    </row>
    <row r="184" spans="1:10">
      <c r="A184" t="s">
        <v>14</v>
      </c>
      <c r="B184" s="1" t="s">
        <v>11</v>
      </c>
      <c r="C184" t="s">
        <v>12</v>
      </c>
      <c r="D184">
        <v>2022</v>
      </c>
      <c r="E184" s="3">
        <v>257300986</v>
      </c>
      <c r="F184" s="3">
        <v>482000000</v>
      </c>
      <c r="G184">
        <v>99</v>
      </c>
      <c r="H184">
        <v>63</v>
      </c>
      <c r="I184" s="7">
        <f t="shared" si="4"/>
        <v>0.61111111111111116</v>
      </c>
      <c r="J184" s="7">
        <f t="shared" si="5"/>
        <v>0.38476339146247962</v>
      </c>
    </row>
    <row r="185" spans="1:10">
      <c r="A185" t="s">
        <v>15</v>
      </c>
      <c r="B185" s="1" t="s">
        <v>11</v>
      </c>
      <c r="C185" t="s">
        <v>12</v>
      </c>
      <c r="D185">
        <v>2022</v>
      </c>
      <c r="E185" s="3">
        <v>117567331</v>
      </c>
      <c r="F185" s="3">
        <v>252000000</v>
      </c>
      <c r="G185">
        <v>86</v>
      </c>
      <c r="H185">
        <v>76</v>
      </c>
      <c r="I185" s="7">
        <f t="shared" si="4"/>
        <v>0.53086419753086422</v>
      </c>
      <c r="J185" s="7">
        <f t="shared" si="5"/>
        <v>0.73149572477748948</v>
      </c>
    </row>
    <row r="186" spans="1:10">
      <c r="A186" t="s">
        <v>16</v>
      </c>
      <c r="B186" s="1" t="s">
        <v>11</v>
      </c>
      <c r="C186" t="s">
        <v>12</v>
      </c>
      <c r="D186">
        <v>2022</v>
      </c>
      <c r="E186" s="3">
        <v>202667189</v>
      </c>
      <c r="F186" s="3">
        <v>238000000</v>
      </c>
      <c r="G186">
        <v>92</v>
      </c>
      <c r="H186">
        <v>70</v>
      </c>
      <c r="I186" s="7">
        <f t="shared" si="4"/>
        <v>0.5679012345679012</v>
      </c>
      <c r="J186" s="7">
        <f t="shared" si="5"/>
        <v>0.45394619846432072</v>
      </c>
    </row>
    <row r="187" spans="1:10">
      <c r="A187" t="s">
        <v>17</v>
      </c>
      <c r="B187" t="s">
        <v>18</v>
      </c>
      <c r="C187" t="s">
        <v>12</v>
      </c>
      <c r="D187">
        <v>2022</v>
      </c>
      <c r="E187" s="3">
        <v>205899975</v>
      </c>
      <c r="F187" s="3">
        <v>258000000</v>
      </c>
      <c r="G187">
        <v>81</v>
      </c>
      <c r="H187">
        <v>81</v>
      </c>
      <c r="I187" s="7">
        <f t="shared" si="4"/>
        <v>0.5</v>
      </c>
      <c r="J187" s="7">
        <f t="shared" si="5"/>
        <v>0.39339489963512619</v>
      </c>
    </row>
    <row r="188" spans="1:10">
      <c r="A188" t="s">
        <v>19</v>
      </c>
      <c r="B188" s="1" t="s">
        <v>18</v>
      </c>
      <c r="C188" t="s">
        <v>12</v>
      </c>
      <c r="D188">
        <v>2022</v>
      </c>
      <c r="E188" s="3">
        <v>87977694</v>
      </c>
      <c r="F188" s="3">
        <v>267000000</v>
      </c>
      <c r="G188">
        <v>92</v>
      </c>
      <c r="H188">
        <v>70</v>
      </c>
      <c r="I188" s="7">
        <f t="shared" si="4"/>
        <v>0.5679012345679012</v>
      </c>
      <c r="J188" s="7">
        <f t="shared" si="5"/>
        <v>1.0457196116097338</v>
      </c>
    </row>
    <row r="189" spans="1:10">
      <c r="A189" t="s">
        <v>20</v>
      </c>
      <c r="B189" s="1" t="s">
        <v>18</v>
      </c>
      <c r="C189" t="s">
        <v>12</v>
      </c>
      <c r="D189">
        <v>2022</v>
      </c>
      <c r="E189" s="3">
        <v>151990306</v>
      </c>
      <c r="F189" s="3">
        <v>268000000</v>
      </c>
      <c r="G189">
        <v>66</v>
      </c>
      <c r="H189">
        <v>96</v>
      </c>
      <c r="I189" s="7">
        <f t="shared" si="4"/>
        <v>0.40740740740740738</v>
      </c>
      <c r="J189" s="7">
        <f t="shared" si="5"/>
        <v>0.43423822042966342</v>
      </c>
    </row>
    <row r="190" spans="1:10">
      <c r="A190" t="s">
        <v>21</v>
      </c>
      <c r="B190" s="1" t="s">
        <v>18</v>
      </c>
      <c r="C190" t="s">
        <v>12</v>
      </c>
      <c r="D190">
        <v>2022</v>
      </c>
      <c r="E190" s="3">
        <v>104395061</v>
      </c>
      <c r="F190" s="3">
        <v>263000000</v>
      </c>
      <c r="G190">
        <v>65</v>
      </c>
      <c r="H190">
        <v>97</v>
      </c>
      <c r="I190" s="7">
        <f t="shared" si="4"/>
        <v>0.40123456790123457</v>
      </c>
      <c r="J190" s="7">
        <f t="shared" si="5"/>
        <v>0.62263481985991653</v>
      </c>
    </row>
    <row r="191" spans="1:10">
      <c r="A191" t="s">
        <v>22</v>
      </c>
      <c r="B191" s="1" t="s">
        <v>18</v>
      </c>
      <c r="C191" t="s">
        <v>12</v>
      </c>
      <c r="D191">
        <v>2022</v>
      </c>
      <c r="E191" s="3">
        <v>166250182</v>
      </c>
      <c r="F191" s="3">
        <v>268000000</v>
      </c>
      <c r="G191">
        <v>78</v>
      </c>
      <c r="H191">
        <v>84</v>
      </c>
      <c r="I191" s="7">
        <f t="shared" si="4"/>
        <v>0.48148148148148145</v>
      </c>
      <c r="J191" s="7">
        <f t="shared" si="5"/>
        <v>0.46917241871049503</v>
      </c>
    </row>
    <row r="192" spans="1:10">
      <c r="A192" t="s">
        <v>23</v>
      </c>
      <c r="B192" t="s">
        <v>24</v>
      </c>
      <c r="C192" t="s">
        <v>12</v>
      </c>
      <c r="D192">
        <v>2022</v>
      </c>
      <c r="E192" s="3">
        <v>188039426</v>
      </c>
      <c r="F192" s="3">
        <v>388000000</v>
      </c>
      <c r="G192">
        <v>106</v>
      </c>
      <c r="H192">
        <v>56</v>
      </c>
      <c r="I192" s="7">
        <f t="shared" si="4"/>
        <v>0.65432098765432101</v>
      </c>
      <c r="J192" s="7">
        <f t="shared" si="5"/>
        <v>0.56371156972155401</v>
      </c>
    </row>
    <row r="193" spans="1:10">
      <c r="A193" t="s">
        <v>25</v>
      </c>
      <c r="B193" s="1" t="s">
        <v>24</v>
      </c>
      <c r="C193" t="s">
        <v>12</v>
      </c>
      <c r="D193">
        <v>2022</v>
      </c>
      <c r="E193" s="3">
        <v>191581966</v>
      </c>
      <c r="F193" s="3">
        <v>331000000</v>
      </c>
      <c r="G193">
        <v>73</v>
      </c>
      <c r="H193">
        <v>89</v>
      </c>
      <c r="I193" s="7">
        <f t="shared" si="4"/>
        <v>0.45061728395061729</v>
      </c>
      <c r="J193" s="7">
        <f t="shared" si="5"/>
        <v>0.38103795218387099</v>
      </c>
    </row>
    <row r="194" spans="1:10">
      <c r="A194" t="s">
        <v>26</v>
      </c>
      <c r="B194" s="1" t="s">
        <v>24</v>
      </c>
      <c r="C194" t="s">
        <v>12</v>
      </c>
      <c r="D194">
        <v>2022</v>
      </c>
      <c r="E194" s="3">
        <v>64094266</v>
      </c>
      <c r="F194" s="3">
        <v>208000000</v>
      </c>
      <c r="G194">
        <v>60</v>
      </c>
      <c r="H194">
        <v>102</v>
      </c>
      <c r="I194" s="7">
        <f t="shared" si="4"/>
        <v>0.37037037037037035</v>
      </c>
      <c r="J194" s="7">
        <f t="shared" si="5"/>
        <v>0.93612118126136268</v>
      </c>
    </row>
    <row r="195" spans="1:10">
      <c r="A195" t="s">
        <v>27</v>
      </c>
      <c r="B195" s="1" t="s">
        <v>24</v>
      </c>
      <c r="C195" t="s">
        <v>12</v>
      </c>
      <c r="D195">
        <v>2022</v>
      </c>
      <c r="E195" s="3">
        <v>163594933</v>
      </c>
      <c r="F195" s="3">
        <v>313000000</v>
      </c>
      <c r="G195">
        <v>90</v>
      </c>
      <c r="H195">
        <v>72</v>
      </c>
      <c r="I195" s="7">
        <f t="shared" ref="I195:I258" si="6">G195/(G195+H195)</f>
        <v>0.55555555555555558</v>
      </c>
      <c r="J195" s="7">
        <f t="shared" ref="J195:J258" si="7">G195/(E195/1000000)</f>
        <v>0.55013928823822433</v>
      </c>
    </row>
    <row r="196" spans="1:10">
      <c r="A196" t="s">
        <v>28</v>
      </c>
      <c r="B196" s="1" t="s">
        <v>24</v>
      </c>
      <c r="C196" t="s">
        <v>12</v>
      </c>
      <c r="D196">
        <v>2022</v>
      </c>
      <c r="E196" s="3">
        <v>169004092</v>
      </c>
      <c r="F196" s="3">
        <v>387000000</v>
      </c>
      <c r="G196">
        <v>68</v>
      </c>
      <c r="H196">
        <v>94</v>
      </c>
      <c r="I196" s="7">
        <f t="shared" si="6"/>
        <v>0.41975308641975306</v>
      </c>
      <c r="J196" s="7">
        <f t="shared" si="7"/>
        <v>0.40235712162519705</v>
      </c>
    </row>
    <row r="197" spans="1:10">
      <c r="A197" t="s">
        <v>29</v>
      </c>
      <c r="B197" t="s">
        <v>30</v>
      </c>
      <c r="C197" t="s">
        <v>31</v>
      </c>
      <c r="D197">
        <v>2022</v>
      </c>
      <c r="E197" s="3">
        <v>198655748</v>
      </c>
      <c r="F197" s="3">
        <v>443000000</v>
      </c>
      <c r="G197">
        <v>101</v>
      </c>
      <c r="H197">
        <v>61</v>
      </c>
      <c r="I197" s="7">
        <f t="shared" si="6"/>
        <v>0.62345679012345678</v>
      </c>
      <c r="J197" s="7">
        <f t="shared" si="7"/>
        <v>0.5084172042180225</v>
      </c>
    </row>
    <row r="198" spans="1:10">
      <c r="A198" t="s">
        <v>32</v>
      </c>
      <c r="B198" s="1" t="s">
        <v>30</v>
      </c>
      <c r="C198" t="s">
        <v>31</v>
      </c>
      <c r="D198">
        <v>2022</v>
      </c>
      <c r="E198" s="3">
        <v>102390071</v>
      </c>
      <c r="F198" s="3">
        <v>240000000</v>
      </c>
      <c r="G198">
        <v>69</v>
      </c>
      <c r="H198">
        <v>93</v>
      </c>
      <c r="I198" s="7">
        <f t="shared" si="6"/>
        <v>0.42592592592592593</v>
      </c>
      <c r="J198" s="7">
        <f t="shared" si="7"/>
        <v>0.67389346765859748</v>
      </c>
    </row>
    <row r="199" spans="1:10">
      <c r="A199" t="s">
        <v>33</v>
      </c>
      <c r="B199" s="1" t="s">
        <v>30</v>
      </c>
      <c r="C199" t="s">
        <v>31</v>
      </c>
      <c r="D199">
        <v>2022</v>
      </c>
      <c r="E199" s="3">
        <v>306110394</v>
      </c>
      <c r="F199" s="3">
        <v>302000000</v>
      </c>
      <c r="G199">
        <v>101</v>
      </c>
      <c r="H199">
        <v>61</v>
      </c>
      <c r="I199" s="7">
        <f t="shared" si="6"/>
        <v>0.62345679012345678</v>
      </c>
      <c r="J199" s="7">
        <f t="shared" si="7"/>
        <v>0.3299463264876919</v>
      </c>
    </row>
    <row r="200" spans="1:10">
      <c r="A200" t="s">
        <v>34</v>
      </c>
      <c r="B200" s="1" t="s">
        <v>30</v>
      </c>
      <c r="C200" t="s">
        <v>31</v>
      </c>
      <c r="D200">
        <v>2022</v>
      </c>
      <c r="E200" s="3">
        <v>255861540</v>
      </c>
      <c r="F200" s="3">
        <v>323000000</v>
      </c>
      <c r="G200">
        <v>87</v>
      </c>
      <c r="H200">
        <v>75</v>
      </c>
      <c r="I200" s="7">
        <f t="shared" si="6"/>
        <v>0.53703703703703709</v>
      </c>
      <c r="J200" s="7">
        <f t="shared" si="7"/>
        <v>0.34002765714612676</v>
      </c>
    </row>
    <row r="201" spans="1:10">
      <c r="A201" t="s">
        <v>35</v>
      </c>
      <c r="B201" s="1" t="s">
        <v>30</v>
      </c>
      <c r="C201" t="s">
        <v>31</v>
      </c>
      <c r="D201">
        <v>2022</v>
      </c>
      <c r="E201" s="3">
        <v>176104529</v>
      </c>
      <c r="F201" s="3">
        <v>322000000</v>
      </c>
      <c r="G201">
        <v>55</v>
      </c>
      <c r="H201">
        <v>107</v>
      </c>
      <c r="I201" s="7">
        <f t="shared" si="6"/>
        <v>0.33950617283950618</v>
      </c>
      <c r="J201" s="7">
        <f t="shared" si="7"/>
        <v>0.3123145117977062</v>
      </c>
    </row>
    <row r="202" spans="1:10">
      <c r="A202" t="s">
        <v>36</v>
      </c>
      <c r="B202" t="s">
        <v>37</v>
      </c>
      <c r="C202" t="s">
        <v>31</v>
      </c>
      <c r="D202">
        <v>2022</v>
      </c>
      <c r="E202" s="3">
        <v>167836005</v>
      </c>
      <c r="F202" s="3">
        <v>425000000</v>
      </c>
      <c r="G202">
        <v>74</v>
      </c>
      <c r="H202">
        <v>88</v>
      </c>
      <c r="I202" s="7">
        <f t="shared" si="6"/>
        <v>0.4567901234567901</v>
      </c>
      <c r="J202" s="7">
        <f t="shared" si="7"/>
        <v>0.44090658616427386</v>
      </c>
    </row>
    <row r="203" spans="1:10">
      <c r="A203" t="s">
        <v>38</v>
      </c>
      <c r="B203" s="1" t="s">
        <v>37</v>
      </c>
      <c r="C203" t="s">
        <v>31</v>
      </c>
      <c r="D203">
        <v>2022</v>
      </c>
      <c r="E203" s="3">
        <v>131103329</v>
      </c>
      <c r="F203" s="3">
        <v>266000000</v>
      </c>
      <c r="G203">
        <v>62</v>
      </c>
      <c r="H203">
        <v>100</v>
      </c>
      <c r="I203" s="7">
        <f t="shared" si="6"/>
        <v>0.38271604938271603</v>
      </c>
      <c r="J203" s="7">
        <f t="shared" si="7"/>
        <v>0.47290942551123166</v>
      </c>
    </row>
    <row r="204" spans="1:10">
      <c r="A204" t="s">
        <v>39</v>
      </c>
      <c r="B204" s="1" t="s">
        <v>37</v>
      </c>
      <c r="C204" t="s">
        <v>31</v>
      </c>
      <c r="D204">
        <v>2022</v>
      </c>
      <c r="E204" s="3">
        <v>144635565</v>
      </c>
      <c r="F204" s="3">
        <v>269000000</v>
      </c>
      <c r="G204">
        <v>86</v>
      </c>
      <c r="H204">
        <v>76</v>
      </c>
      <c r="I204" s="7">
        <f t="shared" si="6"/>
        <v>0.53086419753086422</v>
      </c>
      <c r="J204" s="7">
        <f t="shared" si="7"/>
        <v>0.59459787777646522</v>
      </c>
    </row>
    <row r="205" spans="1:10">
      <c r="A205" t="s">
        <v>40</v>
      </c>
      <c r="B205" s="1" t="s">
        <v>37</v>
      </c>
      <c r="C205" t="s">
        <v>31</v>
      </c>
      <c r="D205">
        <v>2022</v>
      </c>
      <c r="E205" s="3">
        <v>85785680</v>
      </c>
      <c r="F205" s="3">
        <v>258000000</v>
      </c>
      <c r="G205">
        <v>62</v>
      </c>
      <c r="H205">
        <v>100</v>
      </c>
      <c r="I205" s="7">
        <f t="shared" si="6"/>
        <v>0.38271604938271603</v>
      </c>
      <c r="J205" s="7">
        <f t="shared" si="7"/>
        <v>0.72273134630395186</v>
      </c>
    </row>
    <row r="206" spans="1:10">
      <c r="A206" t="s">
        <v>41</v>
      </c>
      <c r="B206" s="1" t="s">
        <v>37</v>
      </c>
      <c r="C206" t="s">
        <v>31</v>
      </c>
      <c r="D206">
        <v>2022</v>
      </c>
      <c r="E206" s="3">
        <v>171390959</v>
      </c>
      <c r="F206" s="3">
        <v>287000000</v>
      </c>
      <c r="G206">
        <v>93</v>
      </c>
      <c r="H206">
        <v>69</v>
      </c>
      <c r="I206" s="7">
        <f t="shared" si="6"/>
        <v>0.57407407407407407</v>
      </c>
      <c r="J206" s="7">
        <f t="shared" si="7"/>
        <v>0.54261905378567832</v>
      </c>
    </row>
    <row r="207" spans="1:10">
      <c r="A207" t="s">
        <v>42</v>
      </c>
      <c r="B207" t="s">
        <v>43</v>
      </c>
      <c r="C207" t="s">
        <v>31</v>
      </c>
      <c r="D207">
        <v>2022</v>
      </c>
      <c r="E207" s="3">
        <v>120531393</v>
      </c>
      <c r="F207" s="3">
        <v>267000000</v>
      </c>
      <c r="G207">
        <v>74</v>
      </c>
      <c r="H207">
        <v>88</v>
      </c>
      <c r="I207" s="7">
        <f t="shared" si="6"/>
        <v>0.4567901234567901</v>
      </c>
      <c r="J207" s="7">
        <f t="shared" si="7"/>
        <v>0.61394793636874345</v>
      </c>
    </row>
    <row r="208" spans="1:10">
      <c r="A208" t="s">
        <v>44</v>
      </c>
      <c r="B208" t="s">
        <v>43</v>
      </c>
      <c r="C208" t="s">
        <v>31</v>
      </c>
      <c r="D208">
        <v>2022</v>
      </c>
      <c r="E208" s="3">
        <v>161587725</v>
      </c>
      <c r="F208" s="3">
        <v>270000000</v>
      </c>
      <c r="G208">
        <v>68</v>
      </c>
      <c r="H208">
        <v>94</v>
      </c>
      <c r="I208" s="7">
        <f t="shared" si="6"/>
        <v>0.41975308641975306</v>
      </c>
      <c r="J208" s="7">
        <f t="shared" si="7"/>
        <v>0.4208240446481934</v>
      </c>
    </row>
    <row r="209" spans="1:10">
      <c r="A209" t="s">
        <v>45</v>
      </c>
      <c r="B209" t="s">
        <v>43</v>
      </c>
      <c r="C209" t="s">
        <v>31</v>
      </c>
      <c r="D209">
        <v>2022</v>
      </c>
      <c r="E209" s="3">
        <v>260368916</v>
      </c>
      <c r="F209" s="3">
        <v>565000000</v>
      </c>
      <c r="G209">
        <v>111</v>
      </c>
      <c r="H209">
        <v>51</v>
      </c>
      <c r="I209" s="7">
        <f t="shared" si="6"/>
        <v>0.68518518518518523</v>
      </c>
      <c r="J209" s="7">
        <f t="shared" si="7"/>
        <v>0.42631817079117079</v>
      </c>
    </row>
    <row r="210" spans="1:10">
      <c r="A210" t="s">
        <v>46</v>
      </c>
      <c r="B210" t="s">
        <v>43</v>
      </c>
      <c r="C210" t="s">
        <v>31</v>
      </c>
      <c r="D210">
        <v>2022</v>
      </c>
      <c r="E210" s="3">
        <v>269347389</v>
      </c>
      <c r="F210" s="3">
        <v>282000000</v>
      </c>
      <c r="G210">
        <v>89</v>
      </c>
      <c r="H210">
        <v>73</v>
      </c>
      <c r="I210" s="7">
        <f t="shared" si="6"/>
        <v>0.54938271604938271</v>
      </c>
      <c r="J210" s="7">
        <f t="shared" si="7"/>
        <v>0.33042830053199435</v>
      </c>
    </row>
    <row r="211" spans="1:10">
      <c r="A211" t="s">
        <v>47</v>
      </c>
      <c r="B211" t="s">
        <v>43</v>
      </c>
      <c r="C211" t="s">
        <v>31</v>
      </c>
      <c r="D211">
        <v>2022</v>
      </c>
      <c r="E211" s="3">
        <v>178861466</v>
      </c>
      <c r="F211" s="3">
        <v>384000000</v>
      </c>
      <c r="G211">
        <v>81</v>
      </c>
      <c r="H211">
        <v>81</v>
      </c>
      <c r="I211" s="7">
        <f t="shared" si="6"/>
        <v>0.5</v>
      </c>
      <c r="J211" s="7">
        <f t="shared" si="7"/>
        <v>0.45286445320760144</v>
      </c>
    </row>
    <row r="212" spans="1:10">
      <c r="A212" t="s">
        <v>10</v>
      </c>
      <c r="B212" t="s">
        <v>11</v>
      </c>
      <c r="C212" t="s">
        <v>12</v>
      </c>
      <c r="D212">
        <v>2023</v>
      </c>
      <c r="E212" s="3">
        <v>99728383</v>
      </c>
      <c r="F212" s="3">
        <v>264000000</v>
      </c>
      <c r="G212">
        <v>101</v>
      </c>
      <c r="H212">
        <v>61</v>
      </c>
      <c r="I212" s="7">
        <f t="shared" si="6"/>
        <v>0.62345679012345678</v>
      </c>
      <c r="J212" s="7">
        <f t="shared" si="7"/>
        <v>1.012750803349534</v>
      </c>
    </row>
    <row r="213" spans="1:10">
      <c r="A213" t="s">
        <v>13</v>
      </c>
      <c r="B213" t="s">
        <v>11</v>
      </c>
      <c r="C213" t="s">
        <v>12</v>
      </c>
      <c r="D213">
        <v>2023</v>
      </c>
      <c r="E213" s="3">
        <v>199823143</v>
      </c>
      <c r="F213" s="3">
        <v>513000000</v>
      </c>
      <c r="G213">
        <v>78</v>
      </c>
      <c r="H213">
        <v>84</v>
      </c>
      <c r="I213" s="7">
        <f t="shared" si="6"/>
        <v>0.48148148148148145</v>
      </c>
      <c r="J213" s="7">
        <f t="shared" si="7"/>
        <v>0.390345176384299</v>
      </c>
    </row>
    <row r="214" spans="1:10">
      <c r="A214" t="s">
        <v>14</v>
      </c>
      <c r="B214" s="1" t="s">
        <v>11</v>
      </c>
      <c r="C214" t="s">
        <v>12</v>
      </c>
      <c r="D214">
        <v>2023</v>
      </c>
      <c r="E214" s="3">
        <v>286111340</v>
      </c>
      <c r="F214" s="3">
        <v>657000000</v>
      </c>
      <c r="G214">
        <v>82</v>
      </c>
      <c r="H214">
        <v>80</v>
      </c>
      <c r="I214" s="7">
        <f t="shared" si="6"/>
        <v>0.50617283950617287</v>
      </c>
      <c r="J214" s="7">
        <f t="shared" si="7"/>
        <v>0.28660171246620286</v>
      </c>
    </row>
    <row r="215" spans="1:10">
      <c r="A215" t="s">
        <v>15</v>
      </c>
      <c r="B215" s="1" t="s">
        <v>11</v>
      </c>
      <c r="C215" t="s">
        <v>12</v>
      </c>
      <c r="D215">
        <v>2023</v>
      </c>
      <c r="E215" s="3">
        <v>96335683</v>
      </c>
      <c r="F215" s="3">
        <v>248000000</v>
      </c>
      <c r="G215">
        <v>99</v>
      </c>
      <c r="H215">
        <v>63</v>
      </c>
      <c r="I215" s="7">
        <f t="shared" si="6"/>
        <v>0.61111111111111116</v>
      </c>
      <c r="J215" s="7">
        <f t="shared" si="7"/>
        <v>1.0276565953240815</v>
      </c>
    </row>
    <row r="216" spans="1:10">
      <c r="A216" t="s">
        <v>16</v>
      </c>
      <c r="B216" s="1" t="s">
        <v>11</v>
      </c>
      <c r="C216" t="s">
        <v>12</v>
      </c>
      <c r="D216">
        <v>2023</v>
      </c>
      <c r="E216" s="3">
        <v>227529171</v>
      </c>
      <c r="F216" s="3">
        <v>294000000</v>
      </c>
      <c r="G216">
        <v>89</v>
      </c>
      <c r="H216">
        <v>73</v>
      </c>
      <c r="I216" s="7">
        <f t="shared" si="6"/>
        <v>0.54938271604938271</v>
      </c>
      <c r="J216" s="7">
        <f t="shared" si="7"/>
        <v>0.39115863521517424</v>
      </c>
    </row>
    <row r="217" spans="1:10">
      <c r="A217" t="s">
        <v>17</v>
      </c>
      <c r="B217" t="s">
        <v>18</v>
      </c>
      <c r="C217" t="s">
        <v>12</v>
      </c>
      <c r="D217">
        <v>2023</v>
      </c>
      <c r="E217" s="3">
        <v>179135614</v>
      </c>
      <c r="F217" s="3">
        <v>276000000</v>
      </c>
      <c r="G217">
        <v>61</v>
      </c>
      <c r="H217">
        <v>101</v>
      </c>
      <c r="I217" s="7">
        <f t="shared" si="6"/>
        <v>0.37654320987654322</v>
      </c>
      <c r="J217" s="7">
        <f t="shared" si="7"/>
        <v>0.3405241349718432</v>
      </c>
    </row>
    <row r="218" spans="1:10">
      <c r="A218" t="s">
        <v>19</v>
      </c>
      <c r="B218" s="1" t="s">
        <v>18</v>
      </c>
      <c r="C218" t="s">
        <v>12</v>
      </c>
      <c r="D218">
        <v>2023</v>
      </c>
      <c r="E218" s="3">
        <v>111687692</v>
      </c>
      <c r="F218" s="3">
        <v>268000000</v>
      </c>
      <c r="G218">
        <v>76</v>
      </c>
      <c r="H218">
        <v>86</v>
      </c>
      <c r="I218" s="7">
        <f t="shared" si="6"/>
        <v>0.46913580246913578</v>
      </c>
      <c r="J218" s="7">
        <f t="shared" si="7"/>
        <v>0.68046889177367909</v>
      </c>
    </row>
    <row r="219" spans="1:10">
      <c r="A219" t="s">
        <v>20</v>
      </c>
      <c r="B219" s="1" t="s">
        <v>18</v>
      </c>
      <c r="C219" t="s">
        <v>12</v>
      </c>
      <c r="D219">
        <v>2023</v>
      </c>
      <c r="E219" s="3">
        <v>148922869</v>
      </c>
      <c r="F219" s="3">
        <v>260000000</v>
      </c>
      <c r="G219">
        <v>78</v>
      </c>
      <c r="H219">
        <v>84</v>
      </c>
      <c r="I219" s="7">
        <f t="shared" si="6"/>
        <v>0.48148148148148145</v>
      </c>
      <c r="J219" s="7">
        <f t="shared" si="7"/>
        <v>0.52376106184201976</v>
      </c>
    </row>
    <row r="220" spans="1:10">
      <c r="A220" t="s">
        <v>21</v>
      </c>
      <c r="B220" s="1" t="s">
        <v>18</v>
      </c>
      <c r="C220" t="s">
        <v>12</v>
      </c>
      <c r="D220">
        <v>2023</v>
      </c>
      <c r="E220" s="3">
        <v>115401053</v>
      </c>
      <c r="F220" s="3">
        <v>260000000</v>
      </c>
      <c r="G220">
        <v>56</v>
      </c>
      <c r="H220">
        <v>106</v>
      </c>
      <c r="I220" s="7">
        <f t="shared" si="6"/>
        <v>0.34567901234567899</v>
      </c>
      <c r="J220" s="7">
        <f t="shared" si="7"/>
        <v>0.48526420291849504</v>
      </c>
    </row>
    <row r="221" spans="1:10">
      <c r="A221" t="s">
        <v>22</v>
      </c>
      <c r="B221" s="1" t="s">
        <v>18</v>
      </c>
      <c r="C221" t="s">
        <v>12</v>
      </c>
      <c r="D221">
        <v>2023</v>
      </c>
      <c r="E221" s="3">
        <v>182828950</v>
      </c>
      <c r="F221" s="3">
        <v>267000000</v>
      </c>
      <c r="G221">
        <v>87</v>
      </c>
      <c r="H221">
        <v>75</v>
      </c>
      <c r="I221" s="7">
        <f t="shared" si="6"/>
        <v>0.53703703703703709</v>
      </c>
      <c r="J221" s="7">
        <f t="shared" si="7"/>
        <v>0.47585461711616245</v>
      </c>
    </row>
    <row r="222" spans="1:10">
      <c r="A222" t="s">
        <v>23</v>
      </c>
      <c r="B222" t="s">
        <v>24</v>
      </c>
      <c r="C222" t="s">
        <v>12</v>
      </c>
      <c r="D222">
        <v>2023</v>
      </c>
      <c r="E222" s="3">
        <v>206202484</v>
      </c>
      <c r="F222" s="3">
        <v>407000000</v>
      </c>
      <c r="G222">
        <v>90</v>
      </c>
      <c r="H222">
        <v>72</v>
      </c>
      <c r="I222" s="7">
        <f t="shared" si="6"/>
        <v>0.55555555555555558</v>
      </c>
      <c r="J222" s="7">
        <f t="shared" si="7"/>
        <v>0.43646418924807912</v>
      </c>
    </row>
    <row r="223" spans="1:10">
      <c r="A223" t="s">
        <v>25</v>
      </c>
      <c r="B223" s="1" t="s">
        <v>24</v>
      </c>
      <c r="C223" t="s">
        <v>12</v>
      </c>
      <c r="D223">
        <v>2023</v>
      </c>
      <c r="E223" s="3">
        <v>203226921</v>
      </c>
      <c r="F223" s="3">
        <v>371000000</v>
      </c>
      <c r="G223">
        <v>73</v>
      </c>
      <c r="H223">
        <v>89</v>
      </c>
      <c r="I223" s="7">
        <f t="shared" si="6"/>
        <v>0.45061728395061729</v>
      </c>
      <c r="J223" s="7">
        <f t="shared" si="7"/>
        <v>0.35920437922690368</v>
      </c>
    </row>
    <row r="224" spans="1:10">
      <c r="A224" t="s">
        <v>26</v>
      </c>
      <c r="B224" s="1" t="s">
        <v>24</v>
      </c>
      <c r="C224" t="s">
        <v>12</v>
      </c>
      <c r="D224">
        <v>2023</v>
      </c>
      <c r="E224" s="3">
        <v>89366631</v>
      </c>
      <c r="F224" s="3">
        <v>212000000</v>
      </c>
      <c r="G224">
        <v>50</v>
      </c>
      <c r="H224">
        <v>112</v>
      </c>
      <c r="I224" s="7">
        <f t="shared" si="6"/>
        <v>0.30864197530864196</v>
      </c>
      <c r="J224" s="7">
        <f t="shared" si="7"/>
        <v>0.55949294989088261</v>
      </c>
    </row>
    <row r="225" spans="1:10">
      <c r="A225" t="s">
        <v>27</v>
      </c>
      <c r="B225" s="1" t="s">
        <v>24</v>
      </c>
      <c r="C225" t="s">
        <v>12</v>
      </c>
      <c r="D225">
        <v>2023</v>
      </c>
      <c r="E225" s="3">
        <v>167067226</v>
      </c>
      <c r="F225" s="3">
        <v>363000000</v>
      </c>
      <c r="G225">
        <v>88</v>
      </c>
      <c r="H225">
        <v>74</v>
      </c>
      <c r="I225" s="7">
        <f t="shared" si="6"/>
        <v>0.54320987654320985</v>
      </c>
      <c r="J225" s="7">
        <f t="shared" si="7"/>
        <v>0.52673407051123244</v>
      </c>
    </row>
    <row r="226" spans="1:10">
      <c r="A226" t="s">
        <v>28</v>
      </c>
      <c r="B226" s="1" t="s">
        <v>24</v>
      </c>
      <c r="C226" t="s">
        <v>12</v>
      </c>
      <c r="D226">
        <v>2023</v>
      </c>
      <c r="E226" s="3">
        <v>230423498</v>
      </c>
      <c r="F226" s="3">
        <v>366000000</v>
      </c>
      <c r="G226">
        <v>90</v>
      </c>
      <c r="H226">
        <v>72</v>
      </c>
      <c r="I226" s="7">
        <f t="shared" si="6"/>
        <v>0.55555555555555558</v>
      </c>
      <c r="J226" s="7">
        <f t="shared" si="7"/>
        <v>0.39058516505985863</v>
      </c>
    </row>
    <row r="227" spans="1:10">
      <c r="A227" t="s">
        <v>29</v>
      </c>
      <c r="B227" t="s">
        <v>30</v>
      </c>
      <c r="C227" t="s">
        <v>31</v>
      </c>
      <c r="D227">
        <v>2023</v>
      </c>
      <c r="E227" s="3">
        <v>222680529</v>
      </c>
      <c r="F227" s="3">
        <v>425000000</v>
      </c>
      <c r="G227">
        <v>104</v>
      </c>
      <c r="H227">
        <v>58</v>
      </c>
      <c r="I227" s="7">
        <f t="shared" si="6"/>
        <v>0.64197530864197527</v>
      </c>
      <c r="J227" s="7">
        <f t="shared" si="7"/>
        <v>0.46703679242651697</v>
      </c>
    </row>
    <row r="228" spans="1:10">
      <c r="A228" t="s">
        <v>32</v>
      </c>
      <c r="B228" s="1" t="s">
        <v>30</v>
      </c>
      <c r="C228" t="s">
        <v>31</v>
      </c>
      <c r="D228">
        <v>2023</v>
      </c>
      <c r="E228" s="3">
        <v>126891159</v>
      </c>
      <c r="F228" s="3">
        <v>238000000</v>
      </c>
      <c r="G228">
        <v>84</v>
      </c>
      <c r="H228">
        <v>78</v>
      </c>
      <c r="I228" s="7">
        <f t="shared" si="6"/>
        <v>0.51851851851851849</v>
      </c>
      <c r="J228" s="7">
        <f t="shared" si="7"/>
        <v>0.66198465410817153</v>
      </c>
    </row>
    <row r="229" spans="1:10">
      <c r="A229" t="s">
        <v>33</v>
      </c>
      <c r="B229" s="1" t="s">
        <v>30</v>
      </c>
      <c r="C229" t="s">
        <v>31</v>
      </c>
      <c r="D229">
        <v>2023</v>
      </c>
      <c r="E229" s="3">
        <v>370072716</v>
      </c>
      <c r="F229" s="3">
        <v>374000000</v>
      </c>
      <c r="G229">
        <v>75</v>
      </c>
      <c r="H229">
        <v>87</v>
      </c>
      <c r="I229" s="7">
        <f t="shared" si="6"/>
        <v>0.46296296296296297</v>
      </c>
      <c r="J229" s="7">
        <f t="shared" si="7"/>
        <v>0.20266287342296263</v>
      </c>
    </row>
    <row r="230" spans="1:10">
      <c r="A230" t="s">
        <v>34</v>
      </c>
      <c r="B230" s="1" t="s">
        <v>30</v>
      </c>
      <c r="C230" t="s">
        <v>31</v>
      </c>
      <c r="D230">
        <v>2023</v>
      </c>
      <c r="E230" s="3">
        <v>254501933</v>
      </c>
      <c r="F230" s="3">
        <v>398000000</v>
      </c>
      <c r="G230">
        <v>90</v>
      </c>
      <c r="H230">
        <v>72</v>
      </c>
      <c r="I230" s="7">
        <f t="shared" si="6"/>
        <v>0.55555555555555558</v>
      </c>
      <c r="J230" s="7">
        <f t="shared" si="7"/>
        <v>0.35363189166818626</v>
      </c>
    </row>
    <row r="231" spans="1:10">
      <c r="A231" t="s">
        <v>35</v>
      </c>
      <c r="B231" s="1" t="s">
        <v>30</v>
      </c>
      <c r="C231" t="s">
        <v>31</v>
      </c>
      <c r="D231">
        <v>2023</v>
      </c>
      <c r="E231" s="3">
        <v>140232208</v>
      </c>
      <c r="F231" s="3">
        <v>356000000</v>
      </c>
      <c r="G231">
        <v>71</v>
      </c>
      <c r="H231">
        <v>91</v>
      </c>
      <c r="I231" s="7">
        <f t="shared" si="6"/>
        <v>0.43827160493827161</v>
      </c>
      <c r="J231" s="7">
        <f t="shared" si="7"/>
        <v>0.5063030883746763</v>
      </c>
    </row>
    <row r="232" spans="1:10">
      <c r="A232" t="s">
        <v>36</v>
      </c>
      <c r="B232" t="s">
        <v>37</v>
      </c>
      <c r="C232" t="s">
        <v>31</v>
      </c>
      <c r="D232">
        <v>2023</v>
      </c>
      <c r="E232" s="3">
        <v>213811609</v>
      </c>
      <c r="F232" s="3">
        <v>451000000</v>
      </c>
      <c r="G232">
        <v>83</v>
      </c>
      <c r="H232">
        <v>79</v>
      </c>
      <c r="I232" s="7">
        <f t="shared" si="6"/>
        <v>0.51234567901234573</v>
      </c>
      <c r="J232" s="7">
        <f t="shared" si="7"/>
        <v>0.38819220522305692</v>
      </c>
    </row>
    <row r="233" spans="1:10">
      <c r="A233" t="s">
        <v>38</v>
      </c>
      <c r="B233" s="1" t="s">
        <v>37</v>
      </c>
      <c r="C233" t="s">
        <v>31</v>
      </c>
      <c r="D233">
        <v>2023</v>
      </c>
      <c r="E233" s="3">
        <v>123390579</v>
      </c>
      <c r="F233" s="3">
        <v>250000000</v>
      </c>
      <c r="G233">
        <v>82</v>
      </c>
      <c r="H233">
        <v>80</v>
      </c>
      <c r="I233" s="7">
        <f t="shared" si="6"/>
        <v>0.50617283950617287</v>
      </c>
      <c r="J233" s="7">
        <f t="shared" si="7"/>
        <v>0.66455640831379836</v>
      </c>
    </row>
    <row r="234" spans="1:10">
      <c r="A234" t="s">
        <v>39</v>
      </c>
      <c r="B234" s="1" t="s">
        <v>37</v>
      </c>
      <c r="C234" t="s">
        <v>31</v>
      </c>
      <c r="D234">
        <v>2023</v>
      </c>
      <c r="E234" s="3">
        <v>150719489</v>
      </c>
      <c r="F234" s="3">
        <v>294000000</v>
      </c>
      <c r="G234">
        <v>92</v>
      </c>
      <c r="H234">
        <v>70</v>
      </c>
      <c r="I234" s="7">
        <f t="shared" si="6"/>
        <v>0.5679012345679012</v>
      </c>
      <c r="J234" s="7">
        <f t="shared" si="7"/>
        <v>0.61040546654188821</v>
      </c>
    </row>
    <row r="235" spans="1:10">
      <c r="A235" t="s">
        <v>40</v>
      </c>
      <c r="B235" s="1" t="s">
        <v>37</v>
      </c>
      <c r="C235" t="s">
        <v>31</v>
      </c>
      <c r="D235">
        <v>2023</v>
      </c>
      <c r="E235" s="3">
        <v>104053975</v>
      </c>
      <c r="F235" s="3">
        <v>262000000</v>
      </c>
      <c r="G235">
        <v>76</v>
      </c>
      <c r="H235">
        <v>86</v>
      </c>
      <c r="I235" s="7">
        <f t="shared" si="6"/>
        <v>0.46913580246913578</v>
      </c>
      <c r="J235" s="7">
        <f t="shared" si="7"/>
        <v>0.73039016529642431</v>
      </c>
    </row>
    <row r="236" spans="1:10">
      <c r="A236" t="s">
        <v>41</v>
      </c>
      <c r="B236" s="1" t="s">
        <v>37</v>
      </c>
      <c r="C236" t="s">
        <v>31</v>
      </c>
      <c r="D236">
        <v>2023</v>
      </c>
      <c r="E236" s="3">
        <v>156149862</v>
      </c>
      <c r="F236" s="3">
        <v>358000000</v>
      </c>
      <c r="G236">
        <v>71</v>
      </c>
      <c r="H236">
        <v>91</v>
      </c>
      <c r="I236" s="7">
        <f t="shared" si="6"/>
        <v>0.43827160493827161</v>
      </c>
      <c r="J236" s="7">
        <f t="shared" si="7"/>
        <v>0.45469140408206055</v>
      </c>
    </row>
    <row r="237" spans="1:10">
      <c r="A237" t="s">
        <v>42</v>
      </c>
      <c r="B237" t="s">
        <v>43</v>
      </c>
      <c r="C237" t="s">
        <v>31</v>
      </c>
      <c r="D237">
        <v>2023</v>
      </c>
      <c r="E237" s="3">
        <v>155276406</v>
      </c>
      <c r="F237" s="3">
        <v>276000000</v>
      </c>
      <c r="G237">
        <v>84</v>
      </c>
      <c r="H237">
        <v>78</v>
      </c>
      <c r="I237" s="7">
        <f t="shared" si="6"/>
        <v>0.51851851851851849</v>
      </c>
      <c r="J237" s="7">
        <f t="shared" si="7"/>
        <v>0.54097078985715319</v>
      </c>
    </row>
    <row r="238" spans="1:10">
      <c r="A238" t="s">
        <v>44</v>
      </c>
      <c r="B238" t="s">
        <v>43</v>
      </c>
      <c r="C238" t="s">
        <v>31</v>
      </c>
      <c r="D238">
        <v>2023</v>
      </c>
      <c r="E238" s="3">
        <v>193681337</v>
      </c>
      <c r="F238" s="3">
        <v>286000000</v>
      </c>
      <c r="G238">
        <v>59</v>
      </c>
      <c r="H238">
        <v>103</v>
      </c>
      <c r="I238" s="7">
        <f t="shared" si="6"/>
        <v>0.36419753086419754</v>
      </c>
      <c r="J238" s="7">
        <f t="shared" si="7"/>
        <v>0.30462408466335605</v>
      </c>
    </row>
    <row r="239" spans="1:10">
      <c r="A239" t="s">
        <v>45</v>
      </c>
      <c r="B239" t="s">
        <v>43</v>
      </c>
      <c r="C239" t="s">
        <v>31</v>
      </c>
      <c r="D239">
        <v>2023</v>
      </c>
      <c r="E239" s="3">
        <v>234698795</v>
      </c>
      <c r="F239" s="3">
        <v>581000000</v>
      </c>
      <c r="G239">
        <v>100</v>
      </c>
      <c r="H239">
        <v>62</v>
      </c>
      <c r="I239" s="7">
        <f t="shared" si="6"/>
        <v>0.61728395061728392</v>
      </c>
      <c r="J239" s="7">
        <f t="shared" si="7"/>
        <v>0.42607802907552211</v>
      </c>
    </row>
    <row r="240" spans="1:10">
      <c r="A240" t="s">
        <v>46</v>
      </c>
      <c r="B240" t="s">
        <v>43</v>
      </c>
      <c r="C240" t="s">
        <v>31</v>
      </c>
      <c r="D240">
        <v>2023</v>
      </c>
      <c r="E240" s="3">
        <v>282791418</v>
      </c>
      <c r="F240" s="3">
        <v>324000000</v>
      </c>
      <c r="G240">
        <v>82</v>
      </c>
      <c r="H240">
        <v>80</v>
      </c>
      <c r="I240" s="7">
        <f t="shared" si="6"/>
        <v>0.50617283950617287</v>
      </c>
      <c r="J240" s="7">
        <f t="shared" si="7"/>
        <v>0.28996636665968412</v>
      </c>
    </row>
    <row r="241" spans="1:10">
      <c r="A241" t="s">
        <v>47</v>
      </c>
      <c r="B241" t="s">
        <v>43</v>
      </c>
      <c r="C241" t="s">
        <v>31</v>
      </c>
      <c r="D241">
        <v>2023</v>
      </c>
      <c r="E241" s="3">
        <v>213457171</v>
      </c>
      <c r="F241" s="3">
        <v>421000000</v>
      </c>
      <c r="G241">
        <v>79</v>
      </c>
      <c r="H241">
        <v>83</v>
      </c>
      <c r="I241" s="7">
        <f t="shared" si="6"/>
        <v>0.48765432098765432</v>
      </c>
      <c r="J241" s="7">
        <f t="shared" si="7"/>
        <v>0.37009766235494618</v>
      </c>
    </row>
    <row r="242" spans="1:10">
      <c r="A242" t="s">
        <v>10</v>
      </c>
      <c r="B242" t="s">
        <v>11</v>
      </c>
      <c r="C242" t="s">
        <v>12</v>
      </c>
      <c r="D242">
        <v>2024</v>
      </c>
      <c r="E242" s="3">
        <v>147331549</v>
      </c>
      <c r="F242" s="3">
        <v>328000000</v>
      </c>
      <c r="G242">
        <v>91</v>
      </c>
      <c r="H242">
        <v>71</v>
      </c>
      <c r="I242" s="7">
        <f t="shared" si="6"/>
        <v>0.56172839506172845</v>
      </c>
      <c r="J242" s="7">
        <f t="shared" si="7"/>
        <v>0.61765453915101376</v>
      </c>
    </row>
    <row r="243" spans="1:10">
      <c r="A243" t="s">
        <v>13</v>
      </c>
      <c r="B243" t="s">
        <v>11</v>
      </c>
      <c r="C243" t="s">
        <v>12</v>
      </c>
      <c r="D243">
        <v>2024</v>
      </c>
      <c r="E243" s="3">
        <v>172088965</v>
      </c>
      <c r="F243" s="3">
        <v>500000000</v>
      </c>
      <c r="G243">
        <v>81</v>
      </c>
      <c r="H243">
        <v>81</v>
      </c>
      <c r="I243" s="7">
        <f t="shared" si="6"/>
        <v>0.5</v>
      </c>
      <c r="J243" s="7">
        <f t="shared" si="7"/>
        <v>0.47068677529671932</v>
      </c>
    </row>
    <row r="244" spans="1:10">
      <c r="A244" t="s">
        <v>14</v>
      </c>
      <c r="B244" s="1" t="s">
        <v>11</v>
      </c>
      <c r="C244" t="s">
        <v>12</v>
      </c>
      <c r="D244">
        <v>2024</v>
      </c>
      <c r="E244" s="3">
        <v>338118416</v>
      </c>
      <c r="F244" s="3">
        <v>679000000</v>
      </c>
      <c r="G244">
        <v>94</v>
      </c>
      <c r="H244">
        <v>68</v>
      </c>
      <c r="I244" s="7">
        <f t="shared" si="6"/>
        <v>0.58024691358024694</v>
      </c>
      <c r="J244" s="7">
        <f t="shared" si="7"/>
        <v>0.2780091102757325</v>
      </c>
    </row>
    <row r="245" spans="1:10">
      <c r="A245" t="s">
        <v>15</v>
      </c>
      <c r="B245" s="1" t="s">
        <v>11</v>
      </c>
      <c r="C245" t="s">
        <v>12</v>
      </c>
      <c r="D245">
        <v>2024</v>
      </c>
      <c r="E245" s="3">
        <v>104084196</v>
      </c>
      <c r="F245" s="3">
        <v>301000000</v>
      </c>
      <c r="G245">
        <v>80</v>
      </c>
      <c r="H245">
        <v>82</v>
      </c>
      <c r="I245" s="7">
        <f t="shared" si="6"/>
        <v>0.49382716049382713</v>
      </c>
      <c r="J245" s="7">
        <f t="shared" si="7"/>
        <v>0.76860852150887538</v>
      </c>
    </row>
    <row r="246" spans="1:10">
      <c r="A246" t="s">
        <v>16</v>
      </c>
      <c r="B246" s="1" t="s">
        <v>11</v>
      </c>
      <c r="C246" t="s">
        <v>12</v>
      </c>
      <c r="D246">
        <v>2024</v>
      </c>
      <c r="E246" s="3">
        <v>235673595</v>
      </c>
      <c r="F246" s="3">
        <v>328000000</v>
      </c>
      <c r="G246">
        <v>74</v>
      </c>
      <c r="H246">
        <v>88</v>
      </c>
      <c r="I246" s="7">
        <f t="shared" si="6"/>
        <v>0.4567901234567901</v>
      </c>
      <c r="J246" s="7">
        <f t="shared" si="7"/>
        <v>0.31399359779783559</v>
      </c>
    </row>
    <row r="247" spans="1:10">
      <c r="A247" t="s">
        <v>17</v>
      </c>
      <c r="B247" t="s">
        <v>18</v>
      </c>
      <c r="C247" t="s">
        <v>12</v>
      </c>
      <c r="D247">
        <v>2024</v>
      </c>
      <c r="E247" s="3">
        <v>164763990</v>
      </c>
      <c r="F247" s="3">
        <v>288000000</v>
      </c>
      <c r="G247">
        <v>41</v>
      </c>
      <c r="H247">
        <v>121</v>
      </c>
      <c r="I247" s="7">
        <f t="shared" si="6"/>
        <v>0.25308641975308643</v>
      </c>
      <c r="J247" s="7">
        <f t="shared" si="7"/>
        <v>0.24884078128964951</v>
      </c>
    </row>
    <row r="248" spans="1:10">
      <c r="A248" t="s">
        <v>19</v>
      </c>
      <c r="B248" s="1" t="s">
        <v>18</v>
      </c>
      <c r="C248" t="s">
        <v>12</v>
      </c>
      <c r="D248">
        <v>2024</v>
      </c>
      <c r="E248" s="3">
        <v>132310141</v>
      </c>
      <c r="F248" s="3">
        <v>315000000</v>
      </c>
      <c r="G248">
        <v>92</v>
      </c>
      <c r="H248">
        <v>69</v>
      </c>
      <c r="I248" s="7">
        <f t="shared" si="6"/>
        <v>0.5714285714285714</v>
      </c>
      <c r="J248" s="7">
        <f t="shared" si="7"/>
        <v>0.69533596823844368</v>
      </c>
    </row>
    <row r="249" spans="1:10">
      <c r="A249" t="s">
        <v>20</v>
      </c>
      <c r="B249" s="1" t="s">
        <v>18</v>
      </c>
      <c r="C249" t="s">
        <v>12</v>
      </c>
      <c r="D249">
        <v>2024</v>
      </c>
      <c r="E249" s="3">
        <v>118802061</v>
      </c>
      <c r="F249" s="3">
        <v>306000000</v>
      </c>
      <c r="G249">
        <v>86</v>
      </c>
      <c r="H249">
        <v>76</v>
      </c>
      <c r="I249" s="7">
        <f t="shared" si="6"/>
        <v>0.53086419753086422</v>
      </c>
      <c r="J249" s="7">
        <f t="shared" si="7"/>
        <v>0.72389316545611115</v>
      </c>
    </row>
    <row r="250" spans="1:10">
      <c r="A250" t="s">
        <v>21</v>
      </c>
      <c r="B250" s="1" t="s">
        <v>18</v>
      </c>
      <c r="C250" t="s">
        <v>12</v>
      </c>
      <c r="D250">
        <v>2024</v>
      </c>
      <c r="E250" s="3">
        <v>153795159</v>
      </c>
      <c r="F250" s="3">
        <v>302000000</v>
      </c>
      <c r="G250">
        <v>86</v>
      </c>
      <c r="H250">
        <v>76</v>
      </c>
      <c r="I250" s="7">
        <f t="shared" si="6"/>
        <v>0.53086419753086422</v>
      </c>
      <c r="J250" s="7">
        <f t="shared" si="7"/>
        <v>0.55918535121121726</v>
      </c>
    </row>
    <row r="251" spans="1:10">
      <c r="A251" t="s">
        <v>22</v>
      </c>
      <c r="B251" s="1" t="s">
        <v>18</v>
      </c>
      <c r="C251" t="s">
        <v>12</v>
      </c>
      <c r="D251">
        <v>2024</v>
      </c>
      <c r="E251" s="3">
        <v>153451340</v>
      </c>
      <c r="F251" s="3">
        <v>342000000</v>
      </c>
      <c r="G251">
        <v>82</v>
      </c>
      <c r="H251">
        <v>80</v>
      </c>
      <c r="I251" s="7">
        <f t="shared" si="6"/>
        <v>0.50617283950617287</v>
      </c>
      <c r="J251" s="7">
        <f t="shared" si="7"/>
        <v>0.53437135185655604</v>
      </c>
    </row>
    <row r="252" spans="1:10">
      <c r="A252" t="s">
        <v>23</v>
      </c>
      <c r="B252" t="s">
        <v>24</v>
      </c>
      <c r="C252" t="s">
        <v>12</v>
      </c>
      <c r="D252">
        <v>2024</v>
      </c>
      <c r="E252" s="3">
        <v>287937968</v>
      </c>
      <c r="F252" s="3">
        <v>445000000</v>
      </c>
      <c r="G252">
        <v>88</v>
      </c>
      <c r="H252">
        <v>73</v>
      </c>
      <c r="I252" s="7">
        <f t="shared" si="6"/>
        <v>0.54658385093167705</v>
      </c>
      <c r="J252" s="7">
        <f t="shared" si="7"/>
        <v>0.30562138300566183</v>
      </c>
    </row>
    <row r="253" spans="1:10">
      <c r="A253" t="s">
        <v>25</v>
      </c>
      <c r="B253" s="1" t="s">
        <v>24</v>
      </c>
      <c r="C253" t="s">
        <v>12</v>
      </c>
      <c r="D253">
        <v>2024</v>
      </c>
      <c r="E253" s="3">
        <v>155150799</v>
      </c>
      <c r="F253" s="3">
        <v>388000000</v>
      </c>
      <c r="G253">
        <v>63</v>
      </c>
      <c r="H253">
        <v>99</v>
      </c>
      <c r="I253" s="7">
        <f t="shared" si="6"/>
        <v>0.3888888888888889</v>
      </c>
      <c r="J253" s="7">
        <f t="shared" si="7"/>
        <v>0.40605656178412591</v>
      </c>
    </row>
    <row r="254" spans="1:10">
      <c r="A254" t="s">
        <v>26</v>
      </c>
      <c r="B254" s="1" t="s">
        <v>24</v>
      </c>
      <c r="C254" t="s">
        <v>12</v>
      </c>
      <c r="D254">
        <v>2024</v>
      </c>
      <c r="E254" s="3">
        <v>84612027</v>
      </c>
      <c r="F254" s="3">
        <v>241000000</v>
      </c>
      <c r="G254">
        <v>69</v>
      </c>
      <c r="H254">
        <v>93</v>
      </c>
      <c r="I254" s="7">
        <f t="shared" si="6"/>
        <v>0.42592592592592593</v>
      </c>
      <c r="J254" s="7">
        <f t="shared" si="7"/>
        <v>0.81548690471627638</v>
      </c>
    </row>
    <row r="255" spans="1:10">
      <c r="A255" t="s">
        <v>27</v>
      </c>
      <c r="B255" s="1" t="s">
        <v>24</v>
      </c>
      <c r="C255" t="s">
        <v>12</v>
      </c>
      <c r="D255">
        <v>2024</v>
      </c>
      <c r="E255" s="3">
        <v>157698705</v>
      </c>
      <c r="F255" s="3">
        <v>396000000</v>
      </c>
      <c r="G255">
        <v>85</v>
      </c>
      <c r="H255">
        <v>77</v>
      </c>
      <c r="I255" s="7">
        <f t="shared" si="6"/>
        <v>0.52469135802469136</v>
      </c>
      <c r="J255" s="7">
        <f t="shared" si="7"/>
        <v>0.53900252383175884</v>
      </c>
    </row>
    <row r="256" spans="1:10">
      <c r="A256" t="s">
        <v>28</v>
      </c>
      <c r="B256" s="1" t="s">
        <v>24</v>
      </c>
      <c r="C256" t="s">
        <v>12</v>
      </c>
      <c r="D256">
        <v>2024</v>
      </c>
      <c r="E256" s="3">
        <v>238598007</v>
      </c>
      <c r="F256" s="3">
        <v>425000000</v>
      </c>
      <c r="G256">
        <v>78</v>
      </c>
      <c r="H256">
        <v>84</v>
      </c>
      <c r="I256" s="7">
        <f t="shared" si="6"/>
        <v>0.48148148148148145</v>
      </c>
      <c r="J256" s="7">
        <f t="shared" si="7"/>
        <v>0.32690968789190267</v>
      </c>
    </row>
    <row r="257" spans="1:10">
      <c r="A257" t="s">
        <v>29</v>
      </c>
      <c r="B257" t="s">
        <v>30</v>
      </c>
      <c r="C257" t="s">
        <v>31</v>
      </c>
      <c r="D257">
        <v>2024</v>
      </c>
      <c r="E257" s="3">
        <v>262338797</v>
      </c>
      <c r="F257" s="3">
        <v>473000000</v>
      </c>
      <c r="G257">
        <v>89</v>
      </c>
      <c r="H257">
        <v>73</v>
      </c>
      <c r="I257" s="7">
        <f t="shared" si="6"/>
        <v>0.54938271604938271</v>
      </c>
      <c r="J257" s="7">
        <f t="shared" si="7"/>
        <v>0.3392559583933748</v>
      </c>
    </row>
    <row r="258" spans="1:10">
      <c r="A258" t="s">
        <v>32</v>
      </c>
      <c r="B258" s="1" t="s">
        <v>30</v>
      </c>
      <c r="C258" t="s">
        <v>31</v>
      </c>
      <c r="D258">
        <v>2024</v>
      </c>
      <c r="E258" s="3">
        <v>113028756</v>
      </c>
      <c r="F258" s="3">
        <v>295000000</v>
      </c>
      <c r="G258">
        <v>62</v>
      </c>
      <c r="H258">
        <v>100</v>
      </c>
      <c r="I258" s="7">
        <f t="shared" si="6"/>
        <v>0.38271604938271603</v>
      </c>
      <c r="J258" s="7">
        <f t="shared" si="7"/>
        <v>0.54853297686475466</v>
      </c>
    </row>
    <row r="259" spans="1:10">
      <c r="A259" t="s">
        <v>33</v>
      </c>
      <c r="B259" s="1" t="s">
        <v>30</v>
      </c>
      <c r="C259" t="s">
        <v>31</v>
      </c>
      <c r="D259">
        <v>2024</v>
      </c>
      <c r="E259" s="3">
        <v>325250104</v>
      </c>
      <c r="F259" s="3">
        <v>393000000</v>
      </c>
      <c r="G259">
        <v>89</v>
      </c>
      <c r="H259">
        <v>73</v>
      </c>
      <c r="I259" s="7">
        <f t="shared" ref="I259:I301" si="8">G259/(G259+H259)</f>
        <v>0.54938271604938271</v>
      </c>
      <c r="J259" s="7">
        <f t="shared" ref="J259:J301" si="9">G259/(E259/1000000)</f>
        <v>0.27363557737709437</v>
      </c>
    </row>
    <row r="260" spans="1:10">
      <c r="A260" t="s">
        <v>34</v>
      </c>
      <c r="B260" s="1" t="s">
        <v>30</v>
      </c>
      <c r="C260" t="s">
        <v>31</v>
      </c>
      <c r="D260">
        <v>2024</v>
      </c>
      <c r="E260" s="3">
        <v>258532065</v>
      </c>
      <c r="F260" s="3">
        <v>458000000</v>
      </c>
      <c r="G260">
        <v>95</v>
      </c>
      <c r="H260">
        <v>67</v>
      </c>
      <c r="I260" s="7">
        <f t="shared" si="8"/>
        <v>0.5864197530864198</v>
      </c>
      <c r="J260" s="7">
        <f t="shared" si="9"/>
        <v>0.36745925500575721</v>
      </c>
    </row>
    <row r="261" spans="1:10">
      <c r="A261" t="s">
        <v>35</v>
      </c>
      <c r="B261" s="1" t="s">
        <v>30</v>
      </c>
      <c r="C261" t="s">
        <v>31</v>
      </c>
      <c r="D261">
        <v>2024</v>
      </c>
      <c r="E261" s="3">
        <v>153760698</v>
      </c>
      <c r="F261" s="3">
        <v>355000000</v>
      </c>
      <c r="G261">
        <v>71</v>
      </c>
      <c r="H261">
        <v>91</v>
      </c>
      <c r="I261" s="7">
        <f t="shared" si="8"/>
        <v>0.43827160493827161</v>
      </c>
      <c r="J261" s="7">
        <f t="shared" si="9"/>
        <v>0.46175648864445196</v>
      </c>
    </row>
    <row r="262" spans="1:10">
      <c r="A262" t="s">
        <v>36</v>
      </c>
      <c r="B262" t="s">
        <v>37</v>
      </c>
      <c r="C262" t="s">
        <v>31</v>
      </c>
      <c r="D262">
        <v>2024</v>
      </c>
      <c r="E262" s="3">
        <v>249162454</v>
      </c>
      <c r="F262" s="3">
        <v>506000000</v>
      </c>
      <c r="G262">
        <v>83</v>
      </c>
      <c r="H262">
        <v>79</v>
      </c>
      <c r="I262" s="7">
        <f t="shared" si="8"/>
        <v>0.51234567901234573</v>
      </c>
      <c r="J262" s="7">
        <f t="shared" si="9"/>
        <v>0.33311599989298546</v>
      </c>
    </row>
    <row r="263" spans="1:10">
      <c r="A263" t="s">
        <v>38</v>
      </c>
      <c r="B263" s="1" t="s">
        <v>37</v>
      </c>
      <c r="C263" t="s">
        <v>31</v>
      </c>
      <c r="D263">
        <v>2024</v>
      </c>
      <c r="E263" s="3">
        <v>131821340</v>
      </c>
      <c r="F263" s="3">
        <v>315000000</v>
      </c>
      <c r="G263">
        <v>77</v>
      </c>
      <c r="H263">
        <v>85</v>
      </c>
      <c r="I263" s="7">
        <f t="shared" si="8"/>
        <v>0.47530864197530864</v>
      </c>
      <c r="J263" s="7">
        <f t="shared" si="9"/>
        <v>0.58412393623065895</v>
      </c>
    </row>
    <row r="264" spans="1:10">
      <c r="A264" t="s">
        <v>39</v>
      </c>
      <c r="B264" s="1" t="s">
        <v>37</v>
      </c>
      <c r="C264" t="s">
        <v>31</v>
      </c>
      <c r="D264">
        <v>2024</v>
      </c>
      <c r="E264" s="3">
        <v>153893107</v>
      </c>
      <c r="F264" s="3">
        <v>320000000</v>
      </c>
      <c r="G264">
        <v>93</v>
      </c>
      <c r="H264">
        <v>69</v>
      </c>
      <c r="I264" s="7">
        <f t="shared" si="8"/>
        <v>0.57407407407407407</v>
      </c>
      <c r="J264" s="7">
        <f t="shared" si="9"/>
        <v>0.60431556560879629</v>
      </c>
    </row>
    <row r="265" spans="1:10">
      <c r="A265" t="s">
        <v>40</v>
      </c>
      <c r="B265" s="1" t="s">
        <v>37</v>
      </c>
      <c r="C265" t="s">
        <v>31</v>
      </c>
      <c r="D265">
        <v>2024</v>
      </c>
      <c r="E265" s="3">
        <v>108036562</v>
      </c>
      <c r="F265" s="3">
        <v>309000000</v>
      </c>
      <c r="G265">
        <v>76</v>
      </c>
      <c r="H265">
        <v>86</v>
      </c>
      <c r="I265" s="7">
        <f t="shared" si="8"/>
        <v>0.46913580246913578</v>
      </c>
      <c r="J265" s="7">
        <f t="shared" si="9"/>
        <v>0.70346555455920556</v>
      </c>
    </row>
    <row r="266" spans="1:10">
      <c r="A266" t="s">
        <v>41</v>
      </c>
      <c r="B266" s="1" t="s">
        <v>37</v>
      </c>
      <c r="C266" t="s">
        <v>31</v>
      </c>
      <c r="D266">
        <v>2024</v>
      </c>
      <c r="E266" s="3">
        <v>196462707</v>
      </c>
      <c r="F266" s="3">
        <v>372000000</v>
      </c>
      <c r="G266">
        <v>83</v>
      </c>
      <c r="H266">
        <v>79</v>
      </c>
      <c r="I266" s="7">
        <f t="shared" si="8"/>
        <v>0.51234567901234573</v>
      </c>
      <c r="J266" s="7">
        <f t="shared" si="9"/>
        <v>0.42247203689400453</v>
      </c>
    </row>
    <row r="267" spans="1:10">
      <c r="A267" t="s">
        <v>42</v>
      </c>
      <c r="B267" t="s">
        <v>43</v>
      </c>
      <c r="C267" t="s">
        <v>31</v>
      </c>
      <c r="D267">
        <v>2024</v>
      </c>
      <c r="E267" s="3">
        <v>199662488</v>
      </c>
      <c r="F267" s="3">
        <v>314000000</v>
      </c>
      <c r="G267">
        <v>89</v>
      </c>
      <c r="H267">
        <v>73</v>
      </c>
      <c r="I267" s="7">
        <f t="shared" si="8"/>
        <v>0.54938271604938271</v>
      </c>
      <c r="J267" s="7">
        <f t="shared" si="9"/>
        <v>0.44575223363940053</v>
      </c>
    </row>
    <row r="268" spans="1:10">
      <c r="A268" t="s">
        <v>44</v>
      </c>
      <c r="B268" t="s">
        <v>43</v>
      </c>
      <c r="C268" t="s">
        <v>31</v>
      </c>
      <c r="D268">
        <v>2024</v>
      </c>
      <c r="E268" s="3">
        <v>176209210</v>
      </c>
      <c r="F268" s="3">
        <v>313000000</v>
      </c>
      <c r="G268">
        <v>61</v>
      </c>
      <c r="H268">
        <v>101</v>
      </c>
      <c r="I268" s="7">
        <f t="shared" si="8"/>
        <v>0.37654320987654322</v>
      </c>
      <c r="J268" s="7">
        <f t="shared" si="9"/>
        <v>0.34617940798894675</v>
      </c>
    </row>
    <row r="269" spans="1:10">
      <c r="A269" t="s">
        <v>45</v>
      </c>
      <c r="B269" t="s">
        <v>43</v>
      </c>
      <c r="C269" t="s">
        <v>31</v>
      </c>
      <c r="D269">
        <v>2024</v>
      </c>
      <c r="E269" s="3">
        <v>324022251</v>
      </c>
      <c r="F269" s="3">
        <v>549000000</v>
      </c>
      <c r="G269">
        <v>98</v>
      </c>
      <c r="H269">
        <v>64</v>
      </c>
      <c r="I269" s="7">
        <f t="shared" si="8"/>
        <v>0.60493827160493829</v>
      </c>
      <c r="J269" s="7">
        <f t="shared" si="9"/>
        <v>0.30244836488096616</v>
      </c>
    </row>
    <row r="270" spans="1:10">
      <c r="A270" t="s">
        <v>46</v>
      </c>
      <c r="B270" t="s">
        <v>43</v>
      </c>
      <c r="C270" t="s">
        <v>31</v>
      </c>
      <c r="D270">
        <v>2024</v>
      </c>
      <c r="E270" s="3">
        <v>184704234</v>
      </c>
      <c r="F270" s="3">
        <v>345000000</v>
      </c>
      <c r="G270">
        <v>93</v>
      </c>
      <c r="H270">
        <v>69</v>
      </c>
      <c r="I270" s="7">
        <f t="shared" si="8"/>
        <v>0.57407407407407407</v>
      </c>
      <c r="J270" s="7">
        <f t="shared" si="9"/>
        <v>0.50350767811852104</v>
      </c>
    </row>
    <row r="271" spans="1:10">
      <c r="A271" t="s">
        <v>47</v>
      </c>
      <c r="B271" t="s">
        <v>43</v>
      </c>
      <c r="C271" t="s">
        <v>31</v>
      </c>
      <c r="D271">
        <v>2024</v>
      </c>
      <c r="E271" s="3">
        <v>242287753</v>
      </c>
      <c r="F271" s="3">
        <v>443000000</v>
      </c>
      <c r="G271">
        <v>80</v>
      </c>
      <c r="H271">
        <v>82</v>
      </c>
      <c r="I271" s="7">
        <f t="shared" si="8"/>
        <v>0.49382716049382713</v>
      </c>
      <c r="J271" s="7">
        <f t="shared" si="9"/>
        <v>0.33018590089446243</v>
      </c>
    </row>
    <row r="272" spans="1:10">
      <c r="A272" t="s">
        <v>10</v>
      </c>
      <c r="B272" t="s">
        <v>11</v>
      </c>
      <c r="C272" t="s">
        <v>12</v>
      </c>
      <c r="D272">
        <v>2025</v>
      </c>
      <c r="E272" s="3">
        <v>200796671</v>
      </c>
      <c r="F272" s="3">
        <v>366000000</v>
      </c>
      <c r="G272">
        <v>75</v>
      </c>
      <c r="H272">
        <v>87</v>
      </c>
      <c r="I272" s="7">
        <f t="shared" si="8"/>
        <v>0.46296296296296297</v>
      </c>
      <c r="J272" s="7">
        <f t="shared" si="9"/>
        <v>0.37351216843629842</v>
      </c>
    </row>
    <row r="273" spans="1:10">
      <c r="A273" t="s">
        <v>13</v>
      </c>
      <c r="B273" t="s">
        <v>11</v>
      </c>
      <c r="C273" t="s">
        <v>12</v>
      </c>
      <c r="D273">
        <v>2025</v>
      </c>
      <c r="E273" s="3">
        <v>224075584</v>
      </c>
      <c r="F273" s="3">
        <v>574000000</v>
      </c>
      <c r="G273">
        <v>89</v>
      </c>
      <c r="H273">
        <v>73</v>
      </c>
      <c r="I273" s="7">
        <f t="shared" si="8"/>
        <v>0.54938271604938271</v>
      </c>
      <c r="J273" s="7">
        <f t="shared" si="9"/>
        <v>0.3971874061923677</v>
      </c>
    </row>
    <row r="274" spans="1:10">
      <c r="A274" t="s">
        <v>14</v>
      </c>
      <c r="B274" s="1" t="s">
        <v>11</v>
      </c>
      <c r="C274" t="s">
        <v>12</v>
      </c>
      <c r="D274">
        <v>2025</v>
      </c>
      <c r="E274" s="3">
        <v>330970070</v>
      </c>
      <c r="F274" s="3">
        <v>728000000</v>
      </c>
      <c r="G274">
        <v>94</v>
      </c>
      <c r="H274">
        <v>68</v>
      </c>
      <c r="I274" s="7">
        <f t="shared" si="8"/>
        <v>0.58024691358024694</v>
      </c>
      <c r="J274" s="7">
        <f t="shared" si="9"/>
        <v>0.28401359675816001</v>
      </c>
    </row>
    <row r="275" spans="1:10">
      <c r="A275" t="s">
        <v>15</v>
      </c>
      <c r="B275" s="1" t="s">
        <v>11</v>
      </c>
      <c r="C275" t="s">
        <v>12</v>
      </c>
      <c r="D275">
        <v>2025</v>
      </c>
      <c r="E275" s="3">
        <v>102798243</v>
      </c>
      <c r="F275" s="3">
        <v>297000000</v>
      </c>
      <c r="G275">
        <v>77</v>
      </c>
      <c r="H275">
        <v>85</v>
      </c>
      <c r="I275" s="7">
        <f t="shared" si="8"/>
        <v>0.47530864197530864</v>
      </c>
      <c r="J275" s="7">
        <f t="shared" si="9"/>
        <v>0.74904003952674558</v>
      </c>
    </row>
    <row r="276" spans="1:10">
      <c r="A276" t="s">
        <v>16</v>
      </c>
      <c r="B276" s="1" t="s">
        <v>11</v>
      </c>
      <c r="C276" t="s">
        <v>12</v>
      </c>
      <c r="D276">
        <v>2025</v>
      </c>
      <c r="E276" s="3">
        <v>290944111</v>
      </c>
      <c r="F276" s="3">
        <v>387000000</v>
      </c>
      <c r="G276">
        <v>94</v>
      </c>
      <c r="H276">
        <v>68</v>
      </c>
      <c r="I276" s="7">
        <f t="shared" si="8"/>
        <v>0.58024691358024694</v>
      </c>
      <c r="J276" s="7">
        <f t="shared" si="9"/>
        <v>0.32308610638969076</v>
      </c>
    </row>
    <row r="277" spans="1:10">
      <c r="A277" t="s">
        <v>17</v>
      </c>
      <c r="B277" t="s">
        <v>18</v>
      </c>
      <c r="C277" t="s">
        <v>12</v>
      </c>
      <c r="D277">
        <v>2025</v>
      </c>
      <c r="E277" s="3">
        <v>101022863</v>
      </c>
      <c r="F277" s="3">
        <v>277000000</v>
      </c>
      <c r="G277">
        <v>60</v>
      </c>
      <c r="H277">
        <v>102</v>
      </c>
      <c r="I277" s="7">
        <f t="shared" si="8"/>
        <v>0.37037037037037035</v>
      </c>
      <c r="J277" s="7">
        <f t="shared" si="9"/>
        <v>0.5939249613228641</v>
      </c>
    </row>
    <row r="278" spans="1:10">
      <c r="A278" t="s">
        <v>19</v>
      </c>
      <c r="B278" s="1" t="s">
        <v>18</v>
      </c>
      <c r="C278" t="s">
        <v>12</v>
      </c>
      <c r="D278">
        <v>2025</v>
      </c>
      <c r="E278" s="3">
        <v>118369450</v>
      </c>
      <c r="F278" s="3">
        <v>336000000</v>
      </c>
      <c r="G278">
        <v>88</v>
      </c>
      <c r="H278">
        <v>74</v>
      </c>
      <c r="I278" s="7">
        <f t="shared" si="8"/>
        <v>0.54320987654320985</v>
      </c>
      <c r="J278" s="7">
        <f t="shared" si="9"/>
        <v>0.74343506707178242</v>
      </c>
    </row>
    <row r="279" spans="1:10">
      <c r="A279" t="s">
        <v>20</v>
      </c>
      <c r="B279" s="1" t="s">
        <v>18</v>
      </c>
      <c r="C279" t="s">
        <v>12</v>
      </c>
      <c r="D279">
        <v>2025</v>
      </c>
      <c r="E279" s="3">
        <v>178924844</v>
      </c>
      <c r="F279" s="3">
        <v>320000000</v>
      </c>
      <c r="G279">
        <v>87</v>
      </c>
      <c r="H279">
        <v>75</v>
      </c>
      <c r="I279" s="7">
        <f t="shared" si="8"/>
        <v>0.53703703703703709</v>
      </c>
      <c r="J279" s="7">
        <f t="shared" si="9"/>
        <v>0.48623767418235109</v>
      </c>
    </row>
    <row r="280" spans="1:10">
      <c r="A280" t="s">
        <v>21</v>
      </c>
      <c r="B280" s="1" t="s">
        <v>18</v>
      </c>
      <c r="C280" t="s">
        <v>12</v>
      </c>
      <c r="D280">
        <v>2025</v>
      </c>
      <c r="E280" s="3">
        <v>162179786</v>
      </c>
      <c r="F280" s="3">
        <v>324000000</v>
      </c>
      <c r="G280">
        <v>82</v>
      </c>
      <c r="H280">
        <v>80</v>
      </c>
      <c r="I280" s="7">
        <f t="shared" si="8"/>
        <v>0.50617283950617287</v>
      </c>
      <c r="J280" s="7">
        <f t="shared" si="9"/>
        <v>0.50561171661676751</v>
      </c>
    </row>
    <row r="281" spans="1:10">
      <c r="A281" t="s">
        <v>22</v>
      </c>
      <c r="B281" s="1" t="s">
        <v>18</v>
      </c>
      <c r="C281" t="s">
        <v>12</v>
      </c>
      <c r="D281">
        <v>2025</v>
      </c>
      <c r="E281" s="3">
        <v>150415875</v>
      </c>
      <c r="F281" s="3">
        <v>324000000</v>
      </c>
      <c r="G281">
        <v>70</v>
      </c>
      <c r="H281">
        <v>92</v>
      </c>
      <c r="I281" s="7">
        <f t="shared" si="8"/>
        <v>0.43209876543209874</v>
      </c>
      <c r="J281" s="7">
        <f t="shared" si="9"/>
        <v>0.46537641056836587</v>
      </c>
    </row>
    <row r="282" spans="1:10">
      <c r="A282" t="s">
        <v>23</v>
      </c>
      <c r="B282" t="s">
        <v>24</v>
      </c>
      <c r="C282" t="s">
        <v>12</v>
      </c>
      <c r="D282">
        <v>2025</v>
      </c>
      <c r="E282" s="3">
        <v>253425770</v>
      </c>
      <c r="F282" s="3">
        <v>494000000</v>
      </c>
      <c r="G282">
        <v>87</v>
      </c>
      <c r="H282">
        <v>75</v>
      </c>
      <c r="I282" s="7">
        <f t="shared" si="8"/>
        <v>0.53703703703703709</v>
      </c>
      <c r="J282" s="7">
        <f t="shared" si="9"/>
        <v>0.34329579032156043</v>
      </c>
    </row>
    <row r="283" spans="1:10">
      <c r="A283" t="s">
        <v>25</v>
      </c>
      <c r="B283" s="1" t="s">
        <v>24</v>
      </c>
      <c r="C283" t="s">
        <v>12</v>
      </c>
      <c r="D283">
        <v>2025</v>
      </c>
      <c r="E283" s="3">
        <v>192062125</v>
      </c>
      <c r="F283" s="3">
        <v>410000000</v>
      </c>
      <c r="G283">
        <v>72</v>
      </c>
      <c r="H283">
        <v>90</v>
      </c>
      <c r="I283" s="7">
        <f t="shared" si="8"/>
        <v>0.44444444444444442</v>
      </c>
      <c r="J283" s="7">
        <f t="shared" si="9"/>
        <v>0.37487870135769868</v>
      </c>
    </row>
    <row r="284" spans="1:10">
      <c r="A284" t="s">
        <v>26</v>
      </c>
      <c r="B284" s="1" t="s">
        <v>24</v>
      </c>
      <c r="C284" t="s">
        <v>12</v>
      </c>
      <c r="D284">
        <v>2025</v>
      </c>
      <c r="E284" s="3">
        <v>113185094</v>
      </c>
      <c r="F284" s="3">
        <v>257000000</v>
      </c>
      <c r="G284">
        <v>76</v>
      </c>
      <c r="H284">
        <v>86</v>
      </c>
      <c r="I284" s="7">
        <f t="shared" si="8"/>
        <v>0.46913580246913578</v>
      </c>
      <c r="J284" s="7">
        <f t="shared" si="9"/>
        <v>0.67146650953879139</v>
      </c>
    </row>
    <row r="285" spans="1:10">
      <c r="A285" t="s">
        <v>27</v>
      </c>
      <c r="B285" s="1" t="s">
        <v>24</v>
      </c>
      <c r="C285" t="s">
        <v>12</v>
      </c>
      <c r="D285">
        <v>2025</v>
      </c>
      <c r="E285" s="3">
        <v>193587829</v>
      </c>
      <c r="F285" s="3">
        <v>379000000</v>
      </c>
      <c r="G285">
        <v>90</v>
      </c>
      <c r="H285">
        <v>72</v>
      </c>
      <c r="I285" s="7">
        <f t="shared" si="8"/>
        <v>0.55555555555555558</v>
      </c>
      <c r="J285" s="7">
        <f t="shared" si="9"/>
        <v>0.46490526013388994</v>
      </c>
    </row>
    <row r="286" spans="1:10">
      <c r="A286" t="s">
        <v>28</v>
      </c>
      <c r="B286" s="1" t="s">
        <v>24</v>
      </c>
      <c r="C286" t="s">
        <v>12</v>
      </c>
      <c r="D286">
        <v>2025</v>
      </c>
      <c r="E286" s="3">
        <v>251697316</v>
      </c>
      <c r="F286" s="3">
        <v>406000000</v>
      </c>
      <c r="G286">
        <v>81</v>
      </c>
      <c r="H286">
        <v>81</v>
      </c>
      <c r="I286" s="7">
        <f t="shared" si="8"/>
        <v>0.5</v>
      </c>
      <c r="J286" s="7">
        <f t="shared" si="9"/>
        <v>0.32181511224378728</v>
      </c>
    </row>
    <row r="287" spans="1:10">
      <c r="A287" t="s">
        <v>29</v>
      </c>
      <c r="B287" t="s">
        <v>30</v>
      </c>
      <c r="C287" t="s">
        <v>31</v>
      </c>
      <c r="D287">
        <v>2025</v>
      </c>
      <c r="E287" s="3">
        <v>230745103</v>
      </c>
      <c r="F287" s="3">
        <v>510000000</v>
      </c>
      <c r="G287">
        <v>76</v>
      </c>
      <c r="H287">
        <v>86</v>
      </c>
      <c r="I287" s="7">
        <f t="shared" si="8"/>
        <v>0.46913580246913578</v>
      </c>
      <c r="J287" s="7">
        <f t="shared" si="9"/>
        <v>0.32936776994136252</v>
      </c>
    </row>
    <row r="288" spans="1:10">
      <c r="A288" t="s">
        <v>32</v>
      </c>
      <c r="B288" s="1" t="s">
        <v>30</v>
      </c>
      <c r="C288" t="s">
        <v>31</v>
      </c>
      <c r="D288">
        <v>2025</v>
      </c>
      <c r="E288" s="3">
        <v>90652027</v>
      </c>
      <c r="F288" s="3">
        <v>317000000</v>
      </c>
      <c r="G288">
        <v>79</v>
      </c>
      <c r="H288">
        <v>83</v>
      </c>
      <c r="I288" s="7">
        <f t="shared" si="8"/>
        <v>0.48765432098765432</v>
      </c>
      <c r="J288" s="7">
        <f t="shared" si="9"/>
        <v>0.87146424205164208</v>
      </c>
    </row>
    <row r="289" spans="1:10">
      <c r="A289" t="s">
        <v>33</v>
      </c>
      <c r="B289" s="1" t="s">
        <v>30</v>
      </c>
      <c r="C289" t="s">
        <v>31</v>
      </c>
      <c r="D289">
        <v>2025</v>
      </c>
      <c r="E289" s="3">
        <v>400965292</v>
      </c>
      <c r="F289" s="3">
        <v>444000000</v>
      </c>
      <c r="G289">
        <v>83</v>
      </c>
      <c r="H289">
        <v>79</v>
      </c>
      <c r="I289" s="7">
        <f t="shared" si="8"/>
        <v>0.51234567901234573</v>
      </c>
      <c r="J289" s="7">
        <f t="shared" si="9"/>
        <v>0.20700046027924035</v>
      </c>
    </row>
    <row r="290" spans="1:10">
      <c r="A290" t="s">
        <v>34</v>
      </c>
      <c r="B290" s="1" t="s">
        <v>30</v>
      </c>
      <c r="C290" t="s">
        <v>31</v>
      </c>
      <c r="D290">
        <v>2025</v>
      </c>
      <c r="E290" s="3">
        <v>308477139</v>
      </c>
      <c r="F290" s="3">
        <v>519000000</v>
      </c>
      <c r="G290">
        <v>96</v>
      </c>
      <c r="H290">
        <v>66</v>
      </c>
      <c r="I290" s="7">
        <f t="shared" si="8"/>
        <v>0.59259259259259256</v>
      </c>
      <c r="J290" s="7">
        <f t="shared" si="9"/>
        <v>0.31120620578629005</v>
      </c>
    </row>
    <row r="291" spans="1:10">
      <c r="A291" t="s">
        <v>35</v>
      </c>
      <c r="B291" s="1" t="s">
        <v>30</v>
      </c>
      <c r="C291" t="s">
        <v>31</v>
      </c>
      <c r="D291">
        <v>2025</v>
      </c>
      <c r="E291" s="3">
        <v>149257229</v>
      </c>
      <c r="F291" s="3">
        <v>325000000</v>
      </c>
      <c r="G291">
        <v>66</v>
      </c>
      <c r="H291">
        <v>96</v>
      </c>
      <c r="I291" s="7">
        <f t="shared" si="8"/>
        <v>0.40740740740740738</v>
      </c>
      <c r="J291" s="7">
        <f t="shared" si="9"/>
        <v>0.44218963759537572</v>
      </c>
    </row>
    <row r="292" spans="1:10">
      <c r="A292" t="s">
        <v>36</v>
      </c>
      <c r="B292" t="s">
        <v>37</v>
      </c>
      <c r="C292" t="s">
        <v>31</v>
      </c>
      <c r="D292">
        <v>2025</v>
      </c>
      <c r="E292" s="3">
        <v>231356720</v>
      </c>
      <c r="F292" s="3">
        <v>584000000</v>
      </c>
      <c r="G292">
        <v>92</v>
      </c>
      <c r="H292">
        <v>70</v>
      </c>
      <c r="I292" s="7">
        <f t="shared" si="8"/>
        <v>0.5679012345679012</v>
      </c>
      <c r="J292" s="7">
        <f t="shared" si="9"/>
        <v>0.39765432359172453</v>
      </c>
    </row>
    <row r="293" spans="1:10">
      <c r="A293" t="s">
        <v>38</v>
      </c>
      <c r="B293" s="1" t="s">
        <v>37</v>
      </c>
      <c r="C293" t="s">
        <v>31</v>
      </c>
      <c r="D293">
        <v>2025</v>
      </c>
      <c r="E293" s="3">
        <v>135790853</v>
      </c>
      <c r="F293" s="3">
        <v>325000000</v>
      </c>
      <c r="G293">
        <v>83</v>
      </c>
      <c r="H293">
        <v>79</v>
      </c>
      <c r="I293" s="7">
        <f t="shared" si="8"/>
        <v>0.51234567901234573</v>
      </c>
      <c r="J293" s="7">
        <f t="shared" si="9"/>
        <v>0.61123410131314226</v>
      </c>
    </row>
    <row r="294" spans="1:10">
      <c r="A294" t="s">
        <v>39</v>
      </c>
      <c r="B294" s="1" t="s">
        <v>37</v>
      </c>
      <c r="C294" t="s">
        <v>31</v>
      </c>
      <c r="D294">
        <v>2025</v>
      </c>
      <c r="E294" s="3">
        <v>156266827</v>
      </c>
      <c r="F294" s="3">
        <v>335000000</v>
      </c>
      <c r="G294">
        <v>97</v>
      </c>
      <c r="H294">
        <v>65</v>
      </c>
      <c r="I294" s="7">
        <f t="shared" si="8"/>
        <v>0.59876543209876543</v>
      </c>
      <c r="J294" s="7">
        <f t="shared" si="9"/>
        <v>0.62073315150886121</v>
      </c>
    </row>
    <row r="295" spans="1:10">
      <c r="A295" t="s">
        <v>40</v>
      </c>
      <c r="B295" s="1" t="s">
        <v>37</v>
      </c>
      <c r="C295" t="s">
        <v>31</v>
      </c>
      <c r="D295">
        <v>2025</v>
      </c>
      <c r="E295" s="3">
        <v>104739138</v>
      </c>
      <c r="F295" s="3">
        <v>326000000</v>
      </c>
      <c r="G295">
        <v>71</v>
      </c>
      <c r="H295">
        <v>91</v>
      </c>
      <c r="I295" s="7">
        <f t="shared" si="8"/>
        <v>0.43827160493827161</v>
      </c>
      <c r="J295" s="7">
        <f t="shared" si="9"/>
        <v>0.67787458781644738</v>
      </c>
    </row>
    <row r="296" spans="1:10">
      <c r="A296" t="s">
        <v>41</v>
      </c>
      <c r="B296" s="1" t="s">
        <v>37</v>
      </c>
      <c r="C296" t="s">
        <v>31</v>
      </c>
      <c r="D296">
        <v>2025</v>
      </c>
      <c r="E296" s="3">
        <v>153377987</v>
      </c>
      <c r="F296" s="3">
        <v>373000000</v>
      </c>
      <c r="G296">
        <v>78</v>
      </c>
      <c r="H296">
        <v>84</v>
      </c>
      <c r="I296" s="7">
        <f t="shared" si="8"/>
        <v>0.48148148148148145</v>
      </c>
      <c r="J296" s="7">
        <f t="shared" si="9"/>
        <v>0.50854755317658462</v>
      </c>
    </row>
    <row r="297" spans="1:10">
      <c r="A297" t="s">
        <v>42</v>
      </c>
      <c r="B297" t="s">
        <v>43</v>
      </c>
      <c r="C297" t="s">
        <v>31</v>
      </c>
      <c r="D297">
        <v>2025</v>
      </c>
      <c r="E297" s="3">
        <v>204374736</v>
      </c>
      <c r="F297" s="3">
        <v>328000000</v>
      </c>
      <c r="G297">
        <v>80</v>
      </c>
      <c r="H297">
        <v>82</v>
      </c>
      <c r="I297" s="7">
        <f t="shared" si="8"/>
        <v>0.49382716049382713</v>
      </c>
      <c r="J297" s="7">
        <f t="shared" si="9"/>
        <v>0.391437814505605</v>
      </c>
    </row>
    <row r="298" spans="1:10">
      <c r="A298" t="s">
        <v>44</v>
      </c>
      <c r="B298" t="s">
        <v>43</v>
      </c>
      <c r="C298" t="s">
        <v>31</v>
      </c>
      <c r="D298">
        <v>2025</v>
      </c>
      <c r="E298" s="3">
        <v>150581485</v>
      </c>
      <c r="F298" s="3">
        <v>318000000</v>
      </c>
      <c r="G298">
        <v>43</v>
      </c>
      <c r="H298">
        <v>119</v>
      </c>
      <c r="I298" s="7">
        <f t="shared" si="8"/>
        <v>0.26543209876543211</v>
      </c>
      <c r="J298" s="7">
        <f t="shared" si="9"/>
        <v>0.28555967554709666</v>
      </c>
    </row>
    <row r="299" spans="1:10">
      <c r="A299" t="s">
        <v>45</v>
      </c>
      <c r="B299" t="s">
        <v>43</v>
      </c>
      <c r="C299" t="s">
        <v>31</v>
      </c>
      <c r="D299">
        <v>2025</v>
      </c>
      <c r="E299" s="3">
        <v>377082178</v>
      </c>
      <c r="F299" s="3">
        <v>752000000</v>
      </c>
      <c r="G299">
        <v>93</v>
      </c>
      <c r="H299">
        <v>69</v>
      </c>
      <c r="I299" s="7">
        <f t="shared" si="8"/>
        <v>0.57407407407407407</v>
      </c>
      <c r="J299" s="7">
        <f t="shared" si="9"/>
        <v>0.2466305898975687</v>
      </c>
    </row>
    <row r="300" spans="1:10">
      <c r="A300" t="s">
        <v>46</v>
      </c>
      <c r="B300" t="s">
        <v>43</v>
      </c>
      <c r="C300" t="s">
        <v>31</v>
      </c>
      <c r="D300">
        <v>2025</v>
      </c>
      <c r="E300" s="3">
        <v>236031133</v>
      </c>
      <c r="F300" s="3">
        <v>432000000</v>
      </c>
      <c r="G300">
        <v>90</v>
      </c>
      <c r="H300">
        <v>72</v>
      </c>
      <c r="I300" s="7">
        <f t="shared" si="8"/>
        <v>0.55555555555555558</v>
      </c>
      <c r="J300" s="7">
        <f t="shared" si="9"/>
        <v>0.38130563055849076</v>
      </c>
    </row>
    <row r="301" spans="1:10">
      <c r="A301" t="s">
        <v>47</v>
      </c>
      <c r="B301" t="s">
        <v>43</v>
      </c>
      <c r="C301" t="s">
        <v>31</v>
      </c>
      <c r="D301">
        <v>2025</v>
      </c>
      <c r="E301" s="3">
        <v>200678481</v>
      </c>
      <c r="F301" s="3">
        <v>448000000</v>
      </c>
      <c r="G301">
        <v>81</v>
      </c>
      <c r="H301">
        <v>81</v>
      </c>
      <c r="I301" s="7">
        <f t="shared" si="8"/>
        <v>0.5</v>
      </c>
      <c r="J301" s="7">
        <f t="shared" si="9"/>
        <v>0.40363072112350701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2026-03-09T18:11:36Z</dcterms:created>
  <dcterms:modified xsi:type="dcterms:W3CDTF">2026-04-03T02:24:10Z</dcterms:modified>
  <cp:category/>
  <cp:contentStatus/>
</cp:coreProperties>
</file>